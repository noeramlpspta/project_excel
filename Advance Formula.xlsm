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crosoft Excel\Manipulation\"/>
    </mc:Choice>
  </mc:AlternateContent>
  <xr:revisionPtr revIDLastSave="0" documentId="8_{A3EDA579-864C-4581-968C-E25D4A2B9BCA}" xr6:coauthVersionLast="47" xr6:coauthVersionMax="47" xr10:uidLastSave="{00000000-0000-0000-0000-000000000000}"/>
  <bookViews>
    <workbookView xWindow="-120" yWindow="-120" windowWidth="20730" windowHeight="11160" firstSheet="22" activeTab="24" xr2:uid="{AE5280F0-5132-4A4B-983C-46197F012CBD}"/>
  </bookViews>
  <sheets>
    <sheet name="Nested&gt;&gt;" sheetId="20" r:id="rId1"/>
    <sheet name="Basic Nested" sheetId="2" r:id="rId2"/>
    <sheet name="Nested Function" sheetId="1" r:id="rId3"/>
    <sheet name="Offset&gt;&gt;" sheetId="21" r:id="rId4"/>
    <sheet name="Basic Offset" sheetId="3" r:id="rId5"/>
    <sheet name="Offset Function" sheetId="10" r:id="rId6"/>
    <sheet name="Indirect&gt;&gt;" sheetId="22" r:id="rId7"/>
    <sheet name="1" sheetId="16" r:id="rId8"/>
    <sheet name="2" sheetId="17" r:id="rId9"/>
    <sheet name="3" sheetId="18" r:id="rId10"/>
    <sheet name="January" sheetId="19" r:id="rId11"/>
    <sheet name="Summary" sheetId="11" r:id="rId12"/>
    <sheet name="Jan" sheetId="12" r:id="rId13"/>
    <sheet name="Feb" sheetId="13" r:id="rId14"/>
    <sheet name="Mar" sheetId="14" r:id="rId15"/>
    <sheet name="Indirect" sheetId="4" r:id="rId16"/>
    <sheet name="2016" sheetId="5" r:id="rId17"/>
    <sheet name="2017" sheetId="6" r:id="rId18"/>
    <sheet name="2018" sheetId="7" r:id="rId19"/>
    <sheet name="2019" sheetId="8" r:id="rId20"/>
    <sheet name="2020" sheetId="9" r:id="rId21"/>
    <sheet name="2021" sheetId="26" r:id="rId22"/>
    <sheet name="Custom VBA" sheetId="24" r:id="rId23"/>
    <sheet name="Case 1" sheetId="23" r:id="rId24"/>
    <sheet name="Case 2" sheetId="25" r:id="rId25"/>
  </sheets>
  <functionGroups builtInGroupCount="19"/>
  <definedNames>
    <definedName name="_xlnm._FilterDatabase" localSheetId="23" hidden="1">'Case 1'!$A$1:$F$101</definedName>
    <definedName name="anscount" hidden="1">2</definedName>
    <definedName name="limcount" hidden="1">2</definedName>
    <definedName name="sencount" hidden="1">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8" l="1"/>
  <c r="B4" i="10" a="1"/>
  <c r="B4" i="10" s="1"/>
  <c r="B5" i="10" a="1"/>
  <c r="B5" i="10" s="1"/>
  <c r="B6" i="10" a="1"/>
  <c r="B6" i="10" s="1"/>
  <c r="B7" i="10" a="1"/>
  <c r="B7" i="10" s="1"/>
  <c r="B8" i="10" a="1"/>
  <c r="B8" i="10" s="1"/>
  <c r="B9" i="10" a="1"/>
  <c r="B9" i="10" s="1"/>
  <c r="B10" i="10" a="1"/>
  <c r="B10" i="10" s="1"/>
  <c r="B11" i="10" a="1"/>
  <c r="B11" i="10" s="1"/>
  <c r="B12" i="10" a="1"/>
  <c r="B12" i="10" s="1"/>
  <c r="B13" i="10" a="1"/>
  <c r="B13" i="10" s="1"/>
  <c r="B14" i="10" a="1"/>
  <c r="B14" i="10" s="1"/>
  <c r="B15" i="10" a="1"/>
  <c r="B15" i="10" s="1"/>
  <c r="B16" i="10" a="1"/>
  <c r="B16" i="10" s="1"/>
  <c r="B17" i="10" a="1"/>
  <c r="B17" i="10" s="1"/>
  <c r="B18" i="10" a="1"/>
  <c r="B18" i="10" s="1"/>
  <c r="B19" i="10" a="1"/>
  <c r="B19" i="10" s="1"/>
  <c r="B20" i="10" a="1"/>
  <c r="B20" i="10" s="1"/>
  <c r="B21" i="10" a="1"/>
  <c r="B21" i="10" s="1"/>
  <c r="B22" i="10" a="1"/>
  <c r="B22" i="10" s="1"/>
  <c r="B3" i="10" a="1"/>
  <c r="B3" i="10" s="1"/>
  <c r="I2" i="3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2" i="1"/>
  <c r="B1" i="10" a="1"/>
  <c r="B1" i="10" s="1"/>
  <c r="I13" i="25"/>
  <c r="I12" i="25"/>
  <c r="I11" i="25"/>
  <c r="I10" i="25"/>
  <c r="I9" i="25"/>
  <c r="I8" i="25"/>
  <c r="I7" i="25"/>
  <c r="I6" i="25"/>
  <c r="I5" i="25"/>
  <c r="I4" i="25"/>
  <c r="I3" i="25"/>
  <c r="I2" i="25"/>
  <c r="K3" i="25" a="1"/>
  <c r="K5" i="25" a="1"/>
  <c r="K7" i="25" a="1"/>
  <c r="K9" i="25" a="1"/>
  <c r="K11" i="25" a="1"/>
  <c r="K13" i="25" a="1"/>
  <c r="K4" i="25" a="1"/>
  <c r="K6" i="25" a="1"/>
  <c r="K8" i="25" a="1"/>
  <c r="K10" i="25" a="1"/>
  <c r="K12" i="25" a="1"/>
  <c r="K2" i="25" a="1"/>
  <c r="K3" i="23" a="1"/>
  <c r="K5" i="23" a="1"/>
  <c r="K4" i="23" a="1"/>
  <c r="K6" i="23" a="1"/>
  <c r="K2" i="23" a="1"/>
  <c r="B3" i="4"/>
  <c r="F3" i="4"/>
  <c r="D4" i="4"/>
  <c r="C3" i="4"/>
  <c r="G3" i="4"/>
  <c r="E4" i="4"/>
  <c r="D3" i="4"/>
  <c r="B4" i="4"/>
  <c r="F4" i="4"/>
  <c r="E3" i="4"/>
  <c r="C4" i="4"/>
  <c r="G4" i="4"/>
  <c r="C2" i="4"/>
  <c r="G2" i="4"/>
  <c r="F2" i="4"/>
  <c r="D2" i="4"/>
  <c r="E2" i="4"/>
  <c r="B2" i="4"/>
  <c r="B5" i="18"/>
  <c r="D5" i="16" a="1"/>
  <c r="D7" i="16" a="1"/>
  <c r="K12" i="25" l="1"/>
  <c r="K10" i="25"/>
  <c r="K8" i="25"/>
  <c r="K6" i="25"/>
  <c r="K4" i="25"/>
  <c r="K13" i="25"/>
  <c r="K11" i="25"/>
  <c r="K9" i="25"/>
  <c r="K7" i="25"/>
  <c r="K5" i="25"/>
  <c r="K3" i="25"/>
  <c r="K2" i="25"/>
  <c r="K6" i="23"/>
  <c r="K4" i="23"/>
  <c r="K5" i="23"/>
  <c r="K3" i="23"/>
  <c r="K2" i="23"/>
  <c r="D7" i="16"/>
  <c r="D5" i="16"/>
  <c r="G5" i="4" l="1"/>
  <c r="F5" i="4"/>
  <c r="E5" i="4"/>
  <c r="D5" i="4"/>
  <c r="C5" i="4"/>
  <c r="B5" i="4"/>
  <c r="D6" i="17" a="1"/>
  <c r="E5" i="16"/>
  <c r="E5" i="17"/>
  <c r="B6" i="11"/>
  <c r="D4" i="17" a="1"/>
  <c r="E3" i="16"/>
  <c r="E7" i="16"/>
  <c r="E6" i="17"/>
  <c r="D5" i="17" a="1"/>
  <c r="E3" i="17"/>
  <c r="A5" i="18"/>
  <c r="B4" i="11"/>
  <c r="E4" i="17"/>
  <c r="D3" i="16" a="1"/>
  <c r="D3" i="17" a="1"/>
  <c r="B5" i="11"/>
  <c r="D6" i="17" l="1"/>
  <c r="D3" i="17"/>
  <c r="D3" i="16"/>
  <c r="D5" i="17"/>
  <c r="D4" i="17"/>
  <c r="C2" i="2"/>
  <c r="D3" i="2" s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<sst xmlns="http://schemas.openxmlformats.org/spreadsheetml/2006/main" count="1034" uniqueCount="280">
  <si>
    <t>Kota</t>
  </si>
  <si>
    <t>Pulau</t>
  </si>
  <si>
    <t>Item Type</t>
  </si>
  <si>
    <t>Order Date</t>
  </si>
  <si>
    <t>Order ID</t>
  </si>
  <si>
    <t>Units Sold</t>
  </si>
  <si>
    <t>Unit Price</t>
  </si>
  <si>
    <t>Total Revenue</t>
  </si>
  <si>
    <t>Medan</t>
  </si>
  <si>
    <t>Sumatra</t>
  </si>
  <si>
    <t>Baby Food</t>
  </si>
  <si>
    <r>
      <t>5933/</t>
    </r>
    <r>
      <rPr>
        <sz val="11"/>
        <color rgb="FFFF0000"/>
        <rFont val="Calibri"/>
        <family val="2"/>
        <scheme val="minor"/>
      </rPr>
      <t>OF</t>
    </r>
    <r>
      <rPr>
        <sz val="11"/>
        <color theme="1"/>
        <rFont val="Calibri"/>
        <family val="2"/>
        <scheme val="minor"/>
      </rPr>
      <t>-H</t>
    </r>
  </si>
  <si>
    <t>Bandung</t>
  </si>
  <si>
    <t>Jawa</t>
  </si>
  <si>
    <t>Cereal</t>
  </si>
  <si>
    <r>
      <t>1480/</t>
    </r>
    <r>
      <rPr>
        <sz val="11"/>
        <color rgb="FFFF0000"/>
        <rFont val="Calibri"/>
        <family val="2"/>
        <scheme val="minor"/>
      </rPr>
      <t>OL</t>
    </r>
    <r>
      <rPr>
        <sz val="11"/>
        <color theme="1"/>
        <rFont val="Calibri"/>
        <family val="2"/>
        <scheme val="minor"/>
      </rPr>
      <t>-C</t>
    </r>
  </si>
  <si>
    <t>Cirebon</t>
  </si>
  <si>
    <t>Office Supplies</t>
  </si>
  <si>
    <t>7157/OF-L</t>
  </si>
  <si>
    <t>Banda Aceh</t>
  </si>
  <si>
    <t>Fruits</t>
  </si>
  <si>
    <t>1792/OL-C</t>
  </si>
  <si>
    <t>Bandar Lampung</t>
  </si>
  <si>
    <t>6712/OF-L</t>
  </si>
  <si>
    <t>Banjar</t>
  </si>
  <si>
    <t>5746/OL-C</t>
  </si>
  <si>
    <t>Batam</t>
  </si>
  <si>
    <t>Household</t>
  </si>
  <si>
    <t>5221/OF-M</t>
  </si>
  <si>
    <t>Batu</t>
  </si>
  <si>
    <t>Vegetables</t>
  </si>
  <si>
    <t>3967/OL-H</t>
  </si>
  <si>
    <t>Baubau</t>
  </si>
  <si>
    <t>Sulawesi</t>
  </si>
  <si>
    <t>Personal Care</t>
  </si>
  <si>
    <t>3311/OF-M</t>
  </si>
  <si>
    <t>Bekasi</t>
  </si>
  <si>
    <t>7081/OL-H</t>
  </si>
  <si>
    <t>Bengkulu</t>
  </si>
  <si>
    <t>1606/OL-H</t>
  </si>
  <si>
    <t>Bitung</t>
  </si>
  <si>
    <t>Clothes</t>
  </si>
  <si>
    <t>5713/OF-H</t>
  </si>
  <si>
    <t>Blitar</t>
  </si>
  <si>
    <t>0731/OL-L</t>
  </si>
  <si>
    <t>Bogor</t>
  </si>
  <si>
    <t>0487/OF-H</t>
  </si>
  <si>
    <t>Bukittinggi</t>
  </si>
  <si>
    <t>1311/OF-C</t>
  </si>
  <si>
    <t>Cilegon</t>
  </si>
  <si>
    <t>2029/OL-M</t>
  </si>
  <si>
    <t>Cimahi</t>
  </si>
  <si>
    <t>Cosmetics</t>
  </si>
  <si>
    <t>3971/OF-M</t>
  </si>
  <si>
    <t>Depok</t>
  </si>
  <si>
    <t>Beverages</t>
  </si>
  <si>
    <t>0964/OF-C</t>
  </si>
  <si>
    <t>Dumai</t>
  </si>
  <si>
    <t>9336/OF-L</t>
  </si>
  <si>
    <t>Gorontalo</t>
  </si>
  <si>
    <t>Meat</t>
  </si>
  <si>
    <t>7916/OL-L</t>
  </si>
  <si>
    <t>Gunungsitoli</t>
  </si>
  <si>
    <t>8031/OL-L</t>
  </si>
  <si>
    <t>Jambi</t>
  </si>
  <si>
    <t>3511/OL-H</t>
  </si>
  <si>
    <t>Snacks</t>
  </si>
  <si>
    <t>0682/OL-L</t>
  </si>
  <si>
    <t>Kediri</t>
  </si>
  <si>
    <t>8373/OL-H</t>
  </si>
  <si>
    <t>Kendari</t>
  </si>
  <si>
    <t>7912/OL-L</t>
  </si>
  <si>
    <t>Kota Administrasi Jakarta Barat</t>
  </si>
  <si>
    <t>3128/OL-H</t>
  </si>
  <si>
    <t>Kota Administrasi Jakarta Pusat</t>
  </si>
  <si>
    <t>0347/OL-M</t>
  </si>
  <si>
    <t>Kota Administrasi Jakarta Selatan</t>
  </si>
  <si>
    <t>8400/OL-L</t>
  </si>
  <si>
    <t>8613/OF-C</t>
  </si>
  <si>
    <t>Kota Administrasi Jakarta Timur</t>
  </si>
  <si>
    <t>4815/OF-L</t>
  </si>
  <si>
    <t>Kota Administrasi Jakarta Utara</t>
  </si>
  <si>
    <t>3334/OF-M</t>
  </si>
  <si>
    <t>Kotamobagu</t>
  </si>
  <si>
    <t>2997/OF-C</t>
  </si>
  <si>
    <t>Langsa</t>
  </si>
  <si>
    <t>5134/OL-C</t>
  </si>
  <si>
    <t>Lhokseumawe</t>
  </si>
  <si>
    <t>3572/OF-H</t>
  </si>
  <si>
    <t>Lubuklinggau</t>
  </si>
  <si>
    <t>4640/OL-M</t>
  </si>
  <si>
    <t>Madiun</t>
  </si>
  <si>
    <t>7165/OF-L</t>
  </si>
  <si>
    <t>Magelang</t>
  </si>
  <si>
    <t>2476/OL-L</t>
  </si>
  <si>
    <t>4400/OL-M</t>
  </si>
  <si>
    <t>Makassar</t>
  </si>
  <si>
    <t>9267/OL-L</t>
  </si>
  <si>
    <t>5903/OL-M</t>
  </si>
  <si>
    <t>Malang</t>
  </si>
  <si>
    <t>5638/OL-H</t>
  </si>
  <si>
    <t>Manado</t>
  </si>
  <si>
    <t>2299/OL-M</t>
  </si>
  <si>
    <t>2214/OF-H</t>
  </si>
  <si>
    <t>Metro</t>
  </si>
  <si>
    <t>4212/OL-H</t>
  </si>
  <si>
    <t>9620/OL-H</t>
  </si>
  <si>
    <t>Mojokerto</t>
  </si>
  <si>
    <t>2267/OF-H</t>
  </si>
  <si>
    <t>Padang</t>
  </si>
  <si>
    <t>8481/OL-C</t>
  </si>
  <si>
    <t>7090/OL-M</t>
  </si>
  <si>
    <t>Padang Panjang</t>
  </si>
  <si>
    <t>9423/OF-C</t>
  </si>
  <si>
    <t>Padang Sidempuan</t>
  </si>
  <si>
    <t>9306/OF-C</t>
  </si>
  <si>
    <t>Pagar Alam</t>
  </si>
  <si>
    <t>3069/OL-C</t>
  </si>
  <si>
    <t>Palembang</t>
  </si>
  <si>
    <t>9539/OL-L</t>
  </si>
  <si>
    <t>Palopo</t>
  </si>
  <si>
    <t>0045/OL-M</t>
  </si>
  <si>
    <t>Palu</t>
  </si>
  <si>
    <t>8415/OF-M</t>
  </si>
  <si>
    <t>0977/OF-H</t>
  </si>
  <si>
    <t>Pangkalpinang</t>
  </si>
  <si>
    <t>6559/OL-C</t>
  </si>
  <si>
    <t>Parepare</t>
  </si>
  <si>
    <t>6489/OF-C</t>
  </si>
  <si>
    <t>Pariaman</t>
  </si>
  <si>
    <t>4595/OF-H</t>
  </si>
  <si>
    <t>Pasuruan</t>
  </si>
  <si>
    <t>7205/OL-L</t>
  </si>
  <si>
    <t>3148/OF-H</t>
  </si>
  <si>
    <t>3752/OF-H</t>
  </si>
  <si>
    <t>Payakumbuh</t>
  </si>
  <si>
    <t>2845/OL-L</t>
  </si>
  <si>
    <t>6754/OL-M</t>
  </si>
  <si>
    <t>Pekalongan</t>
  </si>
  <si>
    <t>4308/OF-H</t>
  </si>
  <si>
    <t>Pekanbaru</t>
  </si>
  <si>
    <t>6836/OF-H</t>
  </si>
  <si>
    <t>8165/OF-H</t>
  </si>
  <si>
    <t>Pematangsiantar</t>
  </si>
  <si>
    <t>4623/OF-L</t>
  </si>
  <si>
    <t>Prabumulih</t>
  </si>
  <si>
    <t>5039/OF-M</t>
  </si>
  <si>
    <t>Probolinggo</t>
  </si>
  <si>
    <t>0740/OF-H</t>
  </si>
  <si>
    <t>Sabang</t>
  </si>
  <si>
    <t>5555/OF-L</t>
  </si>
  <si>
    <t>5812/OL-M</t>
  </si>
  <si>
    <t>0339/OL-L</t>
  </si>
  <si>
    <t>Salatiga</t>
  </si>
  <si>
    <t>0464/OL-C</t>
  </si>
  <si>
    <t>0016/OL-H</t>
  </si>
  <si>
    <t>Sawahlunto</t>
  </si>
  <si>
    <t>5322/OF-L</t>
  </si>
  <si>
    <t>Sekayu</t>
  </si>
  <si>
    <t>5210/OF-C</t>
  </si>
  <si>
    <t>Semarang</t>
  </si>
  <si>
    <t>1009/OL-C</t>
  </si>
  <si>
    <t>Serang</t>
  </si>
  <si>
    <t>6547/OF-C</t>
  </si>
  <si>
    <t>Sibolga</t>
  </si>
  <si>
    <t>8152/OF-H</t>
  </si>
  <si>
    <t>Solok</t>
  </si>
  <si>
    <t>4651/OL-H</t>
  </si>
  <si>
    <t>Subulussalam</t>
  </si>
  <si>
    <t>7374/OF-L</t>
  </si>
  <si>
    <t>Sukabumi</t>
  </si>
  <si>
    <t>0148/OL-L</t>
  </si>
  <si>
    <t>Sungai Penuh</t>
  </si>
  <si>
    <t>9302/OL-H</t>
  </si>
  <si>
    <t>Surabaya</t>
  </si>
  <si>
    <t>3663/OL-L</t>
  </si>
  <si>
    <t>Surakarta</t>
  </si>
  <si>
    <t>4560/OL-L</t>
  </si>
  <si>
    <t>5820/OF-L</t>
  </si>
  <si>
    <t>3772/OF-C</t>
  </si>
  <si>
    <t>7245/OF-M</t>
  </si>
  <si>
    <t>Tangerang</t>
  </si>
  <si>
    <t>7565/OL-M</t>
  </si>
  <si>
    <t>Tangerang Selatan</t>
  </si>
  <si>
    <t>8562/OF-C</t>
  </si>
  <si>
    <t>6563/OF-H</t>
  </si>
  <si>
    <t>0397/OF-H</t>
  </si>
  <si>
    <t>1391/OL-M</t>
  </si>
  <si>
    <t>Tegal</t>
  </si>
  <si>
    <t>3374/OL-H</t>
  </si>
  <si>
    <t>Tanjungpinang</t>
  </si>
  <si>
    <t>2674/OF-C</t>
  </si>
  <si>
    <t>8119/OL-M</t>
  </si>
  <si>
    <t>Tasikmalaya</t>
  </si>
  <si>
    <t>1038/OF-L</t>
  </si>
  <si>
    <t>5257/OF-C</t>
  </si>
  <si>
    <t>7106/OF-M</t>
  </si>
  <si>
    <t>Yogyakarta</t>
  </si>
  <si>
    <t>5412/OF-L</t>
  </si>
  <si>
    <t>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</si>
  <si>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</si>
  <si>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</si>
  <si>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</si>
  <si>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</si>
  <si>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</si>
  <si>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</si>
  <si>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</si>
  <si>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</si>
  <si>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</si>
  <si>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Category</t>
  </si>
  <si>
    <t>5933/OF-H</t>
  </si>
  <si>
    <t>1480/OL-C</t>
  </si>
  <si>
    <t>Jakarta</t>
  </si>
  <si>
    <t>Grand Total</t>
  </si>
  <si>
    <t>Value</t>
  </si>
  <si>
    <t>Month</t>
  </si>
  <si>
    <t>Mar</t>
  </si>
  <si>
    <t>Cat</t>
  </si>
  <si>
    <t>Poin</t>
  </si>
  <si>
    <t>Furniture</t>
  </si>
  <si>
    <t>Office Suplies</t>
  </si>
  <si>
    <t>Others</t>
  </si>
  <si>
    <t>Month Start</t>
  </si>
  <si>
    <t>City</t>
  </si>
  <si>
    <t>Channel</t>
  </si>
  <si>
    <t>Total Discount</t>
  </si>
  <si>
    <t>Remarks</t>
  </si>
  <si>
    <t>Kode</t>
  </si>
  <si>
    <t>Discount</t>
  </si>
  <si>
    <t>OL</t>
  </si>
  <si>
    <t>Online</t>
  </si>
  <si>
    <t>OF</t>
  </si>
  <si>
    <t>Offline</t>
  </si>
  <si>
    <t>1. Isi Channel di Kolom I berdasarkan keterangan Channel di kolom N (Mid )</t>
  </si>
  <si>
    <t>2. Isi total Discount Jika Sales Channel Online Discount 30%, dan Offline 35% berapa total Discountnya? (Menggunakan IF)</t>
  </si>
  <si>
    <t>3. Isi Remarks dengan kriteria : Transaksi di Pulau Jawa atau dilakukan Secara Offline akan mendapatkan Voucher 10 Ribu, Jika Bukan Maka "-"</t>
  </si>
  <si>
    <t>Nested??</t>
  </si>
  <si>
    <t>DATA</t>
  </si>
  <si>
    <t>A4</t>
  </si>
  <si>
    <t>Pontianak</t>
  </si>
  <si>
    <t>Nama Sheet</t>
  </si>
  <si>
    <t>Range</t>
  </si>
  <si>
    <t>A2:A10</t>
  </si>
  <si>
    <t>Color</t>
  </si>
  <si>
    <t>Sum Color</t>
  </si>
  <si>
    <t>Order Priority</t>
  </si>
  <si>
    <t>Product Name</t>
  </si>
  <si>
    <t>Product Category</t>
  </si>
  <si>
    <t>Product Container</t>
  </si>
  <si>
    <t>Ship Mode</t>
  </si>
  <si>
    <t>Ship Date</t>
  </si>
  <si>
    <t>Cost Price</t>
  </si>
  <si>
    <t>Retail Price</t>
  </si>
  <si>
    <t>Profit Margin</t>
  </si>
  <si>
    <t>Order Quantity</t>
  </si>
  <si>
    <t>High</t>
  </si>
  <si>
    <t>Artisan Heavy-Duty EZD  Binder With Locking Rings</t>
  </si>
  <si>
    <t>Small Box</t>
  </si>
  <si>
    <t>Regular Air</t>
  </si>
  <si>
    <t>DrawIt Pizazz Watercolor Pencils, 10-Color Set with Brush</t>
  </si>
  <si>
    <t>Wrap Bag</t>
  </si>
  <si>
    <t>Critical</t>
  </si>
  <si>
    <t>Message Book, One Form per Page</t>
  </si>
  <si>
    <t>Express Air</t>
  </si>
  <si>
    <t>Cando S750 Color Inkjet Printer</t>
  </si>
  <si>
    <t>Technology</t>
  </si>
  <si>
    <t>Jumbo Drum</t>
  </si>
  <si>
    <t>Delivery Truck</t>
  </si>
  <si>
    <t>Steady EarthWrite Recycled Pencils, Medium Soft, #2</t>
  </si>
  <si>
    <t>Low</t>
  </si>
  <si>
    <t>12 Colored Short Pencils</t>
  </si>
  <si>
    <t>Multimedia Mailers</t>
  </si>
  <si>
    <t>Pizazz Dustless Chalk Sticks</t>
  </si>
  <si>
    <t>Not Specified</t>
  </si>
  <si>
    <t>TypeRight Side-Opening Peel &amp; Seel Expanding Envelopes</t>
  </si>
  <si>
    <t>Artisan Printable Repositionable Plastic Tabs</t>
  </si>
  <si>
    <t>Medium</t>
  </si>
  <si>
    <t>Security-Tint Envelopes</t>
  </si>
  <si>
    <t>Jika Qty &gt;= 20 maka discount 10%</t>
  </si>
  <si>
    <t>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</si>
</sst>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&quot; &quot;#,##0_);[Red]\(&quot; &quot;#,##0\)"/>
    <numFmt numFmtId="165" formatCode="&quot; &quot;#,##0.0_);[Red]\(&quot; &quot;#,##0.0\)"/>
    <numFmt numFmtId="166" formatCode="_-* #,##0_-;\-* #,##0_-;_-* &quot;-&quot;??_-;_-@_-"/>
    <numFmt numFmtId="168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2" borderId="1">
      <alignment horizontal="center"/>
    </xf>
    <xf numFmtId="0" fontId="6" fillId="0" borderId="0"/>
  </cellStyleXfs>
  <cellXfs count="68">
    <xf numFmtId="0" fontId="0" fillId="0" borderId="0" xfId="0"/>
    <xf numFmtId="0" fontId="2" fillId="2" borderId="1" xfId="2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5" fillId="0" borderId="0" xfId="0" applyFont="1"/>
    <xf numFmtId="0" fontId="0" fillId="4" borderId="0" xfId="0" applyFill="1"/>
    <xf numFmtId="0" fontId="2" fillId="2" borderId="0" xfId="2" applyBorder="1">
      <alignment horizont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left"/>
    </xf>
    <xf numFmtId="166" fontId="0" fillId="0" borderId="0" xfId="1" applyNumberFormat="1" applyFont="1"/>
    <xf numFmtId="0" fontId="4" fillId="6" borderId="0" xfId="0" applyFont="1" applyFill="1" applyAlignment="1">
      <alignment horizontal="centerContinuous"/>
    </xf>
    <xf numFmtId="0" fontId="6" fillId="0" borderId="0" xfId="3"/>
    <xf numFmtId="0" fontId="6" fillId="7" borderId="0" xfId="3" applyFill="1"/>
    <xf numFmtId="0" fontId="7" fillId="8" borderId="2" xfId="3" applyFont="1" applyFill="1" applyBorder="1"/>
    <xf numFmtId="0" fontId="7" fillId="8" borderId="3" xfId="3" applyFont="1" applyFill="1" applyBorder="1"/>
    <xf numFmtId="0" fontId="6" fillId="0" borderId="2" xfId="3" applyBorder="1"/>
    <xf numFmtId="0" fontId="6" fillId="0" borderId="3" xfId="3" applyBorder="1"/>
    <xf numFmtId="0" fontId="6" fillId="0" borderId="4" xfId="3" applyBorder="1"/>
    <xf numFmtId="0" fontId="6" fillId="0" borderId="5" xfId="3" applyBorder="1"/>
    <xf numFmtId="17" fontId="4" fillId="9" borderId="0" xfId="0" applyNumberFormat="1" applyFont="1" applyFill="1"/>
    <xf numFmtId="17" fontId="0" fillId="6" borderId="0" xfId="0" applyNumberFormat="1" applyFill="1"/>
    <xf numFmtId="0" fontId="4" fillId="10" borderId="0" xfId="0" applyFont="1" applyFill="1"/>
    <xf numFmtId="9" fontId="0" fillId="0" borderId="0" xfId="0" applyNumberFormat="1"/>
    <xf numFmtId="0" fontId="7" fillId="8" borderId="6" xfId="3" applyFont="1" applyFill="1" applyBorder="1" applyAlignment="1">
      <alignment horizontal="center"/>
    </xf>
    <xf numFmtId="0" fontId="4" fillId="0" borderId="0" xfId="3" applyFont="1" applyAlignment="1">
      <alignment horizontal="center" vertical="center"/>
    </xf>
    <xf numFmtId="0" fontId="6" fillId="0" borderId="6" xfId="3" applyBorder="1" applyAlignment="1">
      <alignment horizontal="center" vertical="center"/>
    </xf>
    <xf numFmtId="0" fontId="6" fillId="0" borderId="0" xfId="3" applyAlignment="1">
      <alignment horizontal="center" vertical="center"/>
    </xf>
    <xf numFmtId="0" fontId="6" fillId="0" borderId="7" xfId="3" applyBorder="1" applyAlignment="1">
      <alignment horizontal="center" vertical="center"/>
    </xf>
    <xf numFmtId="0" fontId="6" fillId="7" borderId="7" xfId="3" applyFill="1" applyBorder="1" applyAlignment="1">
      <alignment horizontal="center" vertical="center"/>
    </xf>
    <xf numFmtId="0" fontId="2" fillId="8" borderId="6" xfId="3" applyFont="1" applyFill="1" applyBorder="1" applyAlignment="1">
      <alignment horizontal="center" vertical="center"/>
    </xf>
    <xf numFmtId="0" fontId="6" fillId="0" borderId="6" xfId="3" applyBorder="1" applyAlignment="1">
      <alignment horizontal="left" vertical="center"/>
    </xf>
    <xf numFmtId="0" fontId="6" fillId="7" borderId="0" xfId="3" applyFill="1" applyAlignment="1">
      <alignment horizontal="center" vertical="center"/>
    </xf>
    <xf numFmtId="0" fontId="6" fillId="0" borderId="7" xfId="3" applyBorder="1" applyAlignment="1">
      <alignment horizontal="left" vertical="center"/>
    </xf>
    <xf numFmtId="0" fontId="7" fillId="8" borderId="8" xfId="3" applyFont="1" applyFill="1" applyBorder="1"/>
    <xf numFmtId="0" fontId="6" fillId="0" borderId="8" xfId="3" applyBorder="1" applyAlignment="1">
      <alignment horizontal="center"/>
    </xf>
    <xf numFmtId="0" fontId="6" fillId="0" borderId="9" xfId="3" applyBorder="1" applyAlignment="1">
      <alignment horizontal="center"/>
    </xf>
    <xf numFmtId="41" fontId="4" fillId="10" borderId="0" xfId="0" applyNumberFormat="1" applyFont="1" applyFill="1" applyAlignment="1">
      <alignment horizontal="center"/>
    </xf>
    <xf numFmtId="164" fontId="0" fillId="11" borderId="0" xfId="0" applyNumberFormat="1" applyFill="1"/>
    <xf numFmtId="164" fontId="0" fillId="4" borderId="0" xfId="0" applyNumberFormat="1" applyFill="1"/>
    <xf numFmtId="164" fontId="0" fillId="12" borderId="0" xfId="0" applyNumberFormat="1" applyFill="1"/>
    <xf numFmtId="164" fontId="0" fillId="13" borderId="0" xfId="0" applyNumberFormat="1" applyFill="1"/>
    <xf numFmtId="164" fontId="0" fillId="14" borderId="0" xfId="0" applyNumberForma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14" fontId="10" fillId="0" borderId="0" xfId="0" applyNumberFormat="1" applyFont="1"/>
    <xf numFmtId="164" fontId="10" fillId="0" borderId="0" xfId="0" applyNumberFormat="1" applyFont="1"/>
    <xf numFmtId="164" fontId="0" fillId="15" borderId="0" xfId="0" applyNumberFormat="1" applyFill="1"/>
    <xf numFmtId="0" fontId="1" fillId="0" borderId="0" xfId="0" applyFont="1"/>
    <xf numFmtId="0" fontId="2" fillId="2" borderId="7" xfId="2" applyBorder="1" applyAlignment="1">
      <alignment horizontal="center" vertical="center"/>
    </xf>
    <xf numFmtId="0" fontId="4" fillId="16" borderId="7" xfId="2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168" fontId="1" fillId="6" borderId="7" xfId="1" applyNumberFormat="1" applyFont="1" applyFill="1" applyBorder="1" applyAlignment="1">
      <alignment horizontal="center" vertical="center"/>
    </xf>
    <xf numFmtId="0" fontId="2" fillId="2" borderId="7" xfId="2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16" borderId="0" xfId="2" applyFont="1" applyFill="1" applyBorder="1">
      <alignment horizontal="center"/>
    </xf>
    <xf numFmtId="17" fontId="4" fillId="16" borderId="0" xfId="0" applyNumberFormat="1" applyFont="1" applyFill="1"/>
    <xf numFmtId="0" fontId="6" fillId="16" borderId="0" xfId="3" applyFill="1"/>
    <xf numFmtId="164" fontId="0" fillId="16" borderId="0" xfId="0" applyNumberFormat="1" applyFill="1"/>
  </cellXfs>
  <cellStyles count="4">
    <cellStyle name="Comma" xfId="1" builtinId="3"/>
    <cellStyle name="Normal" xfId="0" builtinId="0"/>
    <cellStyle name="Normal 2" xfId="3" xr:uid="{EC4BCCD8-5684-42BB-A654-F884572F2A0B}"/>
    <cellStyle name="Table Title" xfId="2" xr:uid="{392E60DC-97AA-4490-8667-B7B010C205BC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E8021-DCEA-4A50-BE3B-320B770381D0}">
  <sheetPr codeName="Sheet19">
    <tabColor theme="1"/>
  </sheetPr>
  <dimension ref="A1"/>
  <sheetViews>
    <sheetView topLeftCell="XFD1" workbookViewId="0"/>
  </sheetViews>
  <sheetFormatPr defaultColWidth="0" defaultRowHeight="15" x14ac:dyDescent="0.25"/>
  <cols>
    <col min="1" max="16384" width="8.7109375" hidden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7EA8-D37A-4C6B-9739-58B190A0A016}">
  <sheetPr codeName="Sheet1">
    <tabColor theme="4" tint="0.79998168889431442"/>
  </sheetPr>
  <dimension ref="A1:E10"/>
  <sheetViews>
    <sheetView workbookViewId="0">
      <selection activeCell="D2" sqref="D2"/>
    </sheetView>
  </sheetViews>
  <sheetFormatPr defaultRowHeight="15" x14ac:dyDescent="0.25"/>
  <sheetData>
    <row r="1" spans="1:5" x14ac:dyDescent="0.25">
      <c r="A1" t="s">
        <v>209</v>
      </c>
      <c r="B1" s="4" t="s">
        <v>199</v>
      </c>
      <c r="C1" s="4"/>
      <c r="D1" s="4"/>
      <c r="E1" s="4"/>
    </row>
    <row r="2" spans="1:5" x14ac:dyDescent="0.25">
      <c r="A2" t="s">
        <v>200</v>
      </c>
      <c r="B2" s="4">
        <v>88</v>
      </c>
      <c r="C2" s="5">
        <f>AVERAGE(B2:B10)</f>
        <v>76.333333333333329</v>
      </c>
      <c r="D2" s="4">
        <v>90</v>
      </c>
      <c r="E2" s="6"/>
    </row>
    <row r="3" spans="1:5" x14ac:dyDescent="0.25">
      <c r="A3" t="s">
        <v>201</v>
      </c>
      <c r="B3" s="4">
        <v>54</v>
      </c>
      <c r="C3" s="4"/>
      <c r="D3" s="8">
        <f>IF(D2&gt;C2,1,0)</f>
        <v>1</v>
      </c>
      <c r="E3" s="6"/>
    </row>
    <row r="4" spans="1:5" x14ac:dyDescent="0.25">
      <c r="A4" t="s">
        <v>202</v>
      </c>
      <c r="B4" s="4">
        <v>58</v>
      </c>
      <c r="C4" s="4"/>
      <c r="D4" s="4"/>
      <c r="E4" s="6"/>
    </row>
    <row r="5" spans="1:5" x14ac:dyDescent="0.25">
      <c r="A5" t="s">
        <v>203</v>
      </c>
      <c r="B5" s="4">
        <v>63</v>
      </c>
      <c r="C5" s="4" t="s">
        <v>236</v>
      </c>
      <c r="D5" s="8"/>
      <c r="E5" s="6"/>
    </row>
    <row r="6" spans="1:5" x14ac:dyDescent="0.25">
      <c r="A6" t="s">
        <v>204</v>
      </c>
      <c r="B6" s="4">
        <v>84</v>
      </c>
      <c r="C6" s="4"/>
      <c r="D6" s="4"/>
      <c r="E6" s="6"/>
    </row>
    <row r="7" spans="1:5" x14ac:dyDescent="0.25">
      <c r="A7" t="s">
        <v>205</v>
      </c>
      <c r="B7" s="4">
        <v>78</v>
      </c>
      <c r="C7" s="4"/>
      <c r="D7" s="4"/>
      <c r="E7" s="6"/>
    </row>
    <row r="8" spans="1:5" x14ac:dyDescent="0.25">
      <c r="A8" t="s">
        <v>206</v>
      </c>
      <c r="B8" s="4">
        <v>98</v>
      </c>
      <c r="C8" s="4"/>
      <c r="D8" s="4"/>
      <c r="E8" s="6"/>
    </row>
    <row r="9" spans="1:5" x14ac:dyDescent="0.25">
      <c r="A9" t="s">
        <v>207</v>
      </c>
      <c r="B9" s="4">
        <v>83</v>
      </c>
      <c r="C9" s="4"/>
      <c r="D9" s="4"/>
      <c r="E9" s="6"/>
    </row>
    <row r="10" spans="1:5" x14ac:dyDescent="0.25">
      <c r="A10" t="s">
        <v>208</v>
      </c>
      <c r="B10" s="4">
        <v>81</v>
      </c>
      <c r="C10" s="4"/>
      <c r="D10" s="4"/>
      <c r="E1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9870-7A56-4DD7-8B0F-BBAE75DCDA41}">
  <sheetPr codeName="Sheet2">
    <tabColor theme="4" tint="0.79998168889431442"/>
  </sheetPr>
  <dimension ref="A1:P101"/>
  <sheetViews>
    <sheetView zoomScaleNormal="100" workbookViewId="0">
      <pane ySplit="1" topLeftCell="A2" activePane="bottomLeft" state="frozen"/>
      <selection activeCell="D2" sqref="D2"/>
      <selection pane="bottomLeft" activeCell="I1" sqref="I1:I1048576"/>
    </sheetView>
  </sheetViews>
  <sheetFormatPr defaultRowHeight="15" x14ac:dyDescent="0.25"/>
  <cols>
    <col min="1" max="1" width="30.85546875" style="13" bestFit="1" customWidth="1"/>
    <col min="2" max="2" width="8.85546875" style="13" bestFit="1" customWidth="1"/>
    <col min="3" max="3" width="14.5703125" style="13" bestFit="1" customWidth="1"/>
    <col min="4" max="5" width="10.7109375" bestFit="1" customWidth="1"/>
    <col min="6" max="6" width="10" bestFit="1" customWidth="1"/>
    <col min="7" max="7" width="9.7109375" bestFit="1" customWidth="1"/>
    <col min="8" max="8" width="13.85546875" bestFit="1" customWidth="1"/>
    <col min="9" max="9" width="8.28515625" style="53" bestFit="1" customWidth="1"/>
    <col min="10" max="10" width="13.7109375" style="53" bestFit="1" customWidth="1"/>
    <col min="11" max="11" width="13.28515625" style="53" bestFit="1" customWidth="1"/>
  </cols>
  <sheetData>
    <row r="1" spans="1:16" x14ac:dyDescent="0.25">
      <c r="A1" s="62" t="s">
        <v>0</v>
      </c>
      <c r="B1" s="62" t="s">
        <v>1</v>
      </c>
      <c r="C1" s="62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5" t="s">
        <v>224</v>
      </c>
      <c r="J1" s="55" t="s">
        <v>225</v>
      </c>
      <c r="K1" s="55" t="s">
        <v>226</v>
      </c>
      <c r="N1" s="11" t="s">
        <v>227</v>
      </c>
      <c r="O1" s="11" t="s">
        <v>224</v>
      </c>
      <c r="P1" s="11" t="s">
        <v>228</v>
      </c>
    </row>
    <row r="2" spans="1:16" x14ac:dyDescent="0.25">
      <c r="A2" s="63" t="s">
        <v>8</v>
      </c>
      <c r="B2" s="63" t="s">
        <v>9</v>
      </c>
      <c r="C2" s="63" t="s">
        <v>10</v>
      </c>
      <c r="D2" s="57">
        <v>40326</v>
      </c>
      <c r="E2" s="58" t="s">
        <v>210</v>
      </c>
      <c r="F2" s="59">
        <v>9925</v>
      </c>
      <c r="G2" s="59">
        <v>255.28</v>
      </c>
      <c r="H2" s="59">
        <f>F2*G2</f>
        <v>2533654</v>
      </c>
      <c r="I2" s="60" t="str">
        <f>IF(MID(E2,6,2)="OF","Offline","Online")</f>
        <v>Offline</v>
      </c>
      <c r="J2" s="61">
        <f>IF(I2="Offline",35%,30%)*H2</f>
        <v>886778.89999999991</v>
      </c>
      <c r="K2" s="60" t="str">
        <f>IF(OR(B2="Jawa",I2="Offline"),"Voucher 10Rb","-")</f>
        <v>Voucher 10Rb</v>
      </c>
      <c r="N2" t="s">
        <v>229</v>
      </c>
      <c r="O2" t="s">
        <v>230</v>
      </c>
      <c r="P2" s="27">
        <v>0.3</v>
      </c>
    </row>
    <row r="3" spans="1:16" x14ac:dyDescent="0.25">
      <c r="A3" s="63" t="s">
        <v>12</v>
      </c>
      <c r="B3" s="63" t="s">
        <v>13</v>
      </c>
      <c r="C3" s="63" t="s">
        <v>14</v>
      </c>
      <c r="D3" s="57">
        <v>41143</v>
      </c>
      <c r="E3" s="58" t="s">
        <v>211</v>
      </c>
      <c r="F3" s="59">
        <v>2804</v>
      </c>
      <c r="G3" s="59">
        <v>205.7</v>
      </c>
      <c r="H3" s="59">
        <f t="shared" ref="H3:H66" si="0">F3*G3</f>
        <v>576782.79999999993</v>
      </c>
      <c r="I3" s="60" t="str">
        <f t="shared" ref="I3:I66" si="1">IF(MID(E3,6,2)="OF","Offline","Online")</f>
        <v>Online</v>
      </c>
      <c r="J3" s="61">
        <f t="shared" ref="J3:J66" si="2">IF(I3="Offline",35%,30%)*H3</f>
        <v>173034.83999999997</v>
      </c>
      <c r="K3" s="60" t="str">
        <f t="shared" ref="K3:K66" si="3">IF(OR(B3="Jawa",I3="Offline"),"Voucher 10Rb","-")</f>
        <v>Voucher 10Rb</v>
      </c>
      <c r="N3" t="s">
        <v>231</v>
      </c>
      <c r="O3" t="s">
        <v>232</v>
      </c>
      <c r="P3" s="27">
        <v>0.35</v>
      </c>
    </row>
    <row r="4" spans="1:16" x14ac:dyDescent="0.25">
      <c r="A4" s="63" t="s">
        <v>16</v>
      </c>
      <c r="B4" s="63" t="s">
        <v>13</v>
      </c>
      <c r="C4" s="63" t="s">
        <v>17</v>
      </c>
      <c r="D4" s="57">
        <v>41761</v>
      </c>
      <c r="E4" s="56" t="s">
        <v>18</v>
      </c>
      <c r="F4" s="59">
        <v>1779</v>
      </c>
      <c r="G4" s="59">
        <v>651.21</v>
      </c>
      <c r="H4" s="59">
        <f t="shared" si="0"/>
        <v>1158502.5900000001</v>
      </c>
      <c r="I4" s="60" t="str">
        <f t="shared" si="1"/>
        <v>Offline</v>
      </c>
      <c r="J4" s="61">
        <f t="shared" si="2"/>
        <v>405475.90649999998</v>
      </c>
      <c r="K4" s="60" t="str">
        <f t="shared" si="3"/>
        <v>Voucher 10Rb</v>
      </c>
    </row>
    <row r="5" spans="1:16" x14ac:dyDescent="0.25">
      <c r="A5" s="63" t="s">
        <v>19</v>
      </c>
      <c r="B5" s="63" t="s">
        <v>9</v>
      </c>
      <c r="C5" s="63" t="s">
        <v>20</v>
      </c>
      <c r="D5" s="57">
        <v>41810</v>
      </c>
      <c r="E5" s="56" t="s">
        <v>21</v>
      </c>
      <c r="F5" s="59">
        <v>8102</v>
      </c>
      <c r="G5" s="59">
        <v>9.33</v>
      </c>
      <c r="H5" s="59">
        <f t="shared" si="0"/>
        <v>75591.66</v>
      </c>
      <c r="I5" s="60" t="str">
        <f t="shared" si="1"/>
        <v>Online</v>
      </c>
      <c r="J5" s="61">
        <f t="shared" si="2"/>
        <v>22677.498</v>
      </c>
      <c r="K5" s="60" t="str">
        <f t="shared" si="3"/>
        <v>-</v>
      </c>
      <c r="N5" t="s">
        <v>233</v>
      </c>
    </row>
    <row r="6" spans="1:16" x14ac:dyDescent="0.25">
      <c r="A6" s="63" t="s">
        <v>22</v>
      </c>
      <c r="B6" s="63" t="s">
        <v>9</v>
      </c>
      <c r="C6" s="63" t="s">
        <v>17</v>
      </c>
      <c r="D6" s="57">
        <v>41306</v>
      </c>
      <c r="E6" s="56" t="s">
        <v>23</v>
      </c>
      <c r="F6" s="59">
        <v>5062</v>
      </c>
      <c r="G6" s="59">
        <v>651.21</v>
      </c>
      <c r="H6" s="59">
        <f t="shared" si="0"/>
        <v>3296425.02</v>
      </c>
      <c r="I6" s="60" t="str">
        <f t="shared" si="1"/>
        <v>Offline</v>
      </c>
      <c r="J6" s="61">
        <f t="shared" si="2"/>
        <v>1153748.757</v>
      </c>
      <c r="K6" s="60" t="str">
        <f t="shared" si="3"/>
        <v>Voucher 10Rb</v>
      </c>
      <c r="N6" t="s">
        <v>234</v>
      </c>
    </row>
    <row r="7" spans="1:16" x14ac:dyDescent="0.25">
      <c r="A7" s="63" t="s">
        <v>24</v>
      </c>
      <c r="B7" s="63" t="s">
        <v>13</v>
      </c>
      <c r="C7" s="63" t="s">
        <v>10</v>
      </c>
      <c r="D7" s="57">
        <v>42039</v>
      </c>
      <c r="E7" s="56" t="s">
        <v>25</v>
      </c>
      <c r="F7" s="59">
        <v>2974</v>
      </c>
      <c r="G7" s="59">
        <v>255.28</v>
      </c>
      <c r="H7" s="59">
        <f t="shared" si="0"/>
        <v>759202.72</v>
      </c>
      <c r="I7" s="60" t="str">
        <f t="shared" si="1"/>
        <v>Online</v>
      </c>
      <c r="J7" s="61">
        <f t="shared" si="2"/>
        <v>227760.81599999999</v>
      </c>
      <c r="K7" s="60" t="str">
        <f t="shared" si="3"/>
        <v>Voucher 10Rb</v>
      </c>
      <c r="N7" t="s">
        <v>235</v>
      </c>
    </row>
    <row r="8" spans="1:16" x14ac:dyDescent="0.25">
      <c r="A8" s="63" t="s">
        <v>26</v>
      </c>
      <c r="B8" s="63" t="s">
        <v>9</v>
      </c>
      <c r="C8" s="63" t="s">
        <v>27</v>
      </c>
      <c r="D8" s="57">
        <v>40656</v>
      </c>
      <c r="E8" s="56" t="s">
        <v>28</v>
      </c>
      <c r="F8" s="59">
        <v>4187</v>
      </c>
      <c r="G8" s="59">
        <v>668.27</v>
      </c>
      <c r="H8" s="59">
        <f t="shared" si="0"/>
        <v>2798046.4899999998</v>
      </c>
      <c r="I8" s="60" t="str">
        <f t="shared" si="1"/>
        <v>Offline</v>
      </c>
      <c r="J8" s="61">
        <f t="shared" si="2"/>
        <v>979316.2714999998</v>
      </c>
      <c r="K8" s="60" t="str">
        <f t="shared" si="3"/>
        <v>Voucher 10Rb</v>
      </c>
    </row>
    <row r="9" spans="1:16" x14ac:dyDescent="0.25">
      <c r="A9" s="63" t="s">
        <v>29</v>
      </c>
      <c r="B9" s="63" t="s">
        <v>13</v>
      </c>
      <c r="C9" s="63" t="s">
        <v>30</v>
      </c>
      <c r="D9" s="57">
        <v>41107</v>
      </c>
      <c r="E9" s="56" t="s">
        <v>31</v>
      </c>
      <c r="F9" s="59">
        <v>8082</v>
      </c>
      <c r="G9" s="59">
        <v>154.06</v>
      </c>
      <c r="H9" s="59">
        <f t="shared" si="0"/>
        <v>1245112.92</v>
      </c>
      <c r="I9" s="60" t="str">
        <f t="shared" si="1"/>
        <v>Online</v>
      </c>
      <c r="J9" s="61">
        <f t="shared" si="2"/>
        <v>373533.87599999999</v>
      </c>
      <c r="K9" s="60" t="str">
        <f t="shared" si="3"/>
        <v>Voucher 10Rb</v>
      </c>
    </row>
    <row r="10" spans="1:16" x14ac:dyDescent="0.25">
      <c r="A10" s="63" t="s">
        <v>32</v>
      </c>
      <c r="B10" s="63" t="s">
        <v>33</v>
      </c>
      <c r="C10" s="63" t="s">
        <v>34</v>
      </c>
      <c r="D10" s="57">
        <v>42199</v>
      </c>
      <c r="E10" s="56" t="s">
        <v>35</v>
      </c>
      <c r="F10" s="59">
        <v>6070</v>
      </c>
      <c r="G10" s="59">
        <v>81.73</v>
      </c>
      <c r="H10" s="59">
        <f t="shared" si="0"/>
        <v>496101.10000000003</v>
      </c>
      <c r="I10" s="60" t="str">
        <f t="shared" si="1"/>
        <v>Offline</v>
      </c>
      <c r="J10" s="61">
        <f t="shared" si="2"/>
        <v>173635.38500000001</v>
      </c>
      <c r="K10" s="60" t="str">
        <f t="shared" si="3"/>
        <v>Voucher 10Rb</v>
      </c>
    </row>
    <row r="11" spans="1:16" x14ac:dyDescent="0.25">
      <c r="A11" s="63" t="s">
        <v>36</v>
      </c>
      <c r="B11" s="63" t="s">
        <v>13</v>
      </c>
      <c r="C11" s="63" t="s">
        <v>14</v>
      </c>
      <c r="D11" s="57">
        <v>41747</v>
      </c>
      <c r="E11" s="56" t="s">
        <v>37</v>
      </c>
      <c r="F11" s="59">
        <v>6593</v>
      </c>
      <c r="G11" s="59">
        <v>205.7</v>
      </c>
      <c r="H11" s="59">
        <f t="shared" si="0"/>
        <v>1356180.0999999999</v>
      </c>
      <c r="I11" s="60" t="str">
        <f t="shared" si="1"/>
        <v>Online</v>
      </c>
      <c r="J11" s="61">
        <f t="shared" si="2"/>
        <v>406854.02999999997</v>
      </c>
      <c r="K11" s="60" t="str">
        <f t="shared" si="3"/>
        <v>Voucher 10Rb</v>
      </c>
    </row>
    <row r="12" spans="1:16" x14ac:dyDescent="0.25">
      <c r="A12" s="63" t="s">
        <v>38</v>
      </c>
      <c r="B12" s="63" t="s">
        <v>9</v>
      </c>
      <c r="C12" s="63" t="s">
        <v>30</v>
      </c>
      <c r="D12" s="57">
        <v>40718</v>
      </c>
      <c r="E12" s="56" t="s">
        <v>39</v>
      </c>
      <c r="F12" s="59">
        <v>124</v>
      </c>
      <c r="G12" s="59">
        <v>154.06</v>
      </c>
      <c r="H12" s="59">
        <f t="shared" si="0"/>
        <v>19103.439999999999</v>
      </c>
      <c r="I12" s="60" t="str">
        <f t="shared" si="1"/>
        <v>Online</v>
      </c>
      <c r="J12" s="61">
        <f t="shared" si="2"/>
        <v>5731.0319999999992</v>
      </c>
      <c r="K12" s="60" t="str">
        <f t="shared" si="3"/>
        <v>-</v>
      </c>
    </row>
    <row r="13" spans="1:16" x14ac:dyDescent="0.25">
      <c r="A13" s="63" t="s">
        <v>40</v>
      </c>
      <c r="B13" s="63" t="s">
        <v>33</v>
      </c>
      <c r="C13" s="63" t="s">
        <v>41</v>
      </c>
      <c r="D13" s="57">
        <v>41853</v>
      </c>
      <c r="E13" s="56" t="s">
        <v>42</v>
      </c>
      <c r="F13" s="59">
        <v>4168</v>
      </c>
      <c r="G13" s="59">
        <v>109.28</v>
      </c>
      <c r="H13" s="59">
        <f t="shared" si="0"/>
        <v>455479.03999999998</v>
      </c>
      <c r="I13" s="60" t="str">
        <f t="shared" si="1"/>
        <v>Offline</v>
      </c>
      <c r="J13" s="61">
        <f t="shared" si="2"/>
        <v>159417.66399999999</v>
      </c>
      <c r="K13" s="60" t="str">
        <f t="shared" si="3"/>
        <v>Voucher 10Rb</v>
      </c>
    </row>
    <row r="14" spans="1:16" x14ac:dyDescent="0.25">
      <c r="A14" s="63" t="s">
        <v>43</v>
      </c>
      <c r="B14" s="63" t="s">
        <v>13</v>
      </c>
      <c r="C14" s="63" t="s">
        <v>41</v>
      </c>
      <c r="D14" s="57">
        <v>42748</v>
      </c>
      <c r="E14" s="56" t="s">
        <v>44</v>
      </c>
      <c r="F14" s="59">
        <v>8263</v>
      </c>
      <c r="G14" s="59">
        <v>109.28</v>
      </c>
      <c r="H14" s="59">
        <f t="shared" si="0"/>
        <v>902980.64</v>
      </c>
      <c r="I14" s="60" t="str">
        <f t="shared" si="1"/>
        <v>Online</v>
      </c>
      <c r="J14" s="61">
        <f t="shared" si="2"/>
        <v>270894.19199999998</v>
      </c>
      <c r="K14" s="60" t="str">
        <f t="shared" si="3"/>
        <v>Voucher 10Rb</v>
      </c>
    </row>
    <row r="15" spans="1:16" x14ac:dyDescent="0.25">
      <c r="A15" s="63" t="s">
        <v>45</v>
      </c>
      <c r="B15" s="63" t="s">
        <v>13</v>
      </c>
      <c r="C15" s="63" t="s">
        <v>27</v>
      </c>
      <c r="D15" s="57">
        <v>42774</v>
      </c>
      <c r="E15" s="56" t="s">
        <v>46</v>
      </c>
      <c r="F15" s="59">
        <v>8974</v>
      </c>
      <c r="G15" s="59">
        <v>668.27</v>
      </c>
      <c r="H15" s="59">
        <f t="shared" si="0"/>
        <v>5997054.9799999995</v>
      </c>
      <c r="I15" s="60" t="str">
        <f t="shared" si="1"/>
        <v>Offline</v>
      </c>
      <c r="J15" s="61">
        <f t="shared" si="2"/>
        <v>2098969.2429999998</v>
      </c>
      <c r="K15" s="60" t="str">
        <f t="shared" si="3"/>
        <v>Voucher 10Rb</v>
      </c>
    </row>
    <row r="16" spans="1:16" x14ac:dyDescent="0.25">
      <c r="A16" s="63" t="s">
        <v>47</v>
      </c>
      <c r="B16" s="63" t="s">
        <v>9</v>
      </c>
      <c r="C16" s="63" t="s">
        <v>34</v>
      </c>
      <c r="D16" s="57">
        <v>41689</v>
      </c>
      <c r="E16" s="56" t="s">
        <v>48</v>
      </c>
      <c r="F16" s="59">
        <v>4901</v>
      </c>
      <c r="G16" s="59">
        <v>81.73</v>
      </c>
      <c r="H16" s="59">
        <f t="shared" si="0"/>
        <v>400558.73000000004</v>
      </c>
      <c r="I16" s="60" t="str">
        <f t="shared" si="1"/>
        <v>Offline</v>
      </c>
      <c r="J16" s="61">
        <f t="shared" si="2"/>
        <v>140195.55550000002</v>
      </c>
      <c r="K16" s="60" t="str">
        <f t="shared" si="3"/>
        <v>Voucher 10Rb</v>
      </c>
    </row>
    <row r="17" spans="1:11" x14ac:dyDescent="0.25">
      <c r="A17" s="63" t="s">
        <v>49</v>
      </c>
      <c r="B17" s="63" t="s">
        <v>13</v>
      </c>
      <c r="C17" s="63" t="s">
        <v>41</v>
      </c>
      <c r="D17" s="57">
        <v>41022</v>
      </c>
      <c r="E17" s="56" t="s">
        <v>50</v>
      </c>
      <c r="F17" s="59">
        <v>1673</v>
      </c>
      <c r="G17" s="59">
        <v>109.28</v>
      </c>
      <c r="H17" s="59">
        <f t="shared" si="0"/>
        <v>182825.44</v>
      </c>
      <c r="I17" s="60" t="str">
        <f t="shared" si="1"/>
        <v>Online</v>
      </c>
      <c r="J17" s="61">
        <f t="shared" si="2"/>
        <v>54847.631999999998</v>
      </c>
      <c r="K17" s="60" t="str">
        <f t="shared" si="3"/>
        <v>Voucher 10Rb</v>
      </c>
    </row>
    <row r="18" spans="1:11" x14ac:dyDescent="0.25">
      <c r="A18" s="63" t="s">
        <v>51</v>
      </c>
      <c r="B18" s="63" t="s">
        <v>13</v>
      </c>
      <c r="C18" s="63" t="s">
        <v>52</v>
      </c>
      <c r="D18" s="57">
        <v>42693</v>
      </c>
      <c r="E18" s="56" t="s">
        <v>53</v>
      </c>
      <c r="F18" s="59">
        <v>6952</v>
      </c>
      <c r="G18" s="59">
        <v>437.2</v>
      </c>
      <c r="H18" s="59">
        <f t="shared" si="0"/>
        <v>3039414.4</v>
      </c>
      <c r="I18" s="60" t="str">
        <f t="shared" si="1"/>
        <v>Offline</v>
      </c>
      <c r="J18" s="61">
        <f t="shared" si="2"/>
        <v>1063795.0399999998</v>
      </c>
      <c r="K18" s="60" t="str">
        <f t="shared" si="3"/>
        <v>Voucher 10Rb</v>
      </c>
    </row>
    <row r="19" spans="1:11" x14ac:dyDescent="0.25">
      <c r="A19" s="63" t="s">
        <v>54</v>
      </c>
      <c r="B19" s="63" t="s">
        <v>13</v>
      </c>
      <c r="C19" s="63" t="s">
        <v>55</v>
      </c>
      <c r="D19" s="57">
        <v>42095</v>
      </c>
      <c r="E19" s="56" t="s">
        <v>56</v>
      </c>
      <c r="F19" s="59">
        <v>5430</v>
      </c>
      <c r="G19" s="59">
        <v>47.45</v>
      </c>
      <c r="H19" s="59">
        <f t="shared" si="0"/>
        <v>257653.50000000003</v>
      </c>
      <c r="I19" s="60" t="str">
        <f t="shared" si="1"/>
        <v>Offline</v>
      </c>
      <c r="J19" s="61">
        <f t="shared" si="2"/>
        <v>90178.725000000006</v>
      </c>
      <c r="K19" s="60" t="str">
        <f t="shared" si="3"/>
        <v>Voucher 10Rb</v>
      </c>
    </row>
    <row r="20" spans="1:11" x14ac:dyDescent="0.25">
      <c r="A20" s="63" t="s">
        <v>57</v>
      </c>
      <c r="B20" s="63" t="s">
        <v>9</v>
      </c>
      <c r="C20" s="63" t="s">
        <v>27</v>
      </c>
      <c r="D20" s="57">
        <v>40542</v>
      </c>
      <c r="E20" s="56" t="s">
        <v>58</v>
      </c>
      <c r="F20" s="59">
        <v>3830</v>
      </c>
      <c r="G20" s="59">
        <v>668.27</v>
      </c>
      <c r="H20" s="59">
        <f t="shared" si="0"/>
        <v>2559474.1</v>
      </c>
      <c r="I20" s="60" t="str">
        <f t="shared" si="1"/>
        <v>Offline</v>
      </c>
      <c r="J20" s="61">
        <f t="shared" si="2"/>
        <v>895815.93499999994</v>
      </c>
      <c r="K20" s="60" t="str">
        <f t="shared" si="3"/>
        <v>Voucher 10Rb</v>
      </c>
    </row>
    <row r="21" spans="1:11" x14ac:dyDescent="0.25">
      <c r="A21" s="63" t="s">
        <v>59</v>
      </c>
      <c r="B21" s="63" t="s">
        <v>33</v>
      </c>
      <c r="C21" s="63" t="s">
        <v>60</v>
      </c>
      <c r="D21" s="57">
        <v>41121</v>
      </c>
      <c r="E21" s="56" t="s">
        <v>61</v>
      </c>
      <c r="F21" s="59">
        <v>5908</v>
      </c>
      <c r="G21" s="59">
        <v>421.89</v>
      </c>
      <c r="H21" s="59">
        <f t="shared" si="0"/>
        <v>2492526.12</v>
      </c>
      <c r="I21" s="60" t="str">
        <f t="shared" si="1"/>
        <v>Online</v>
      </c>
      <c r="J21" s="61">
        <f t="shared" si="2"/>
        <v>747757.83600000001</v>
      </c>
      <c r="K21" s="60" t="str">
        <f t="shared" si="3"/>
        <v>-</v>
      </c>
    </row>
    <row r="22" spans="1:11" x14ac:dyDescent="0.25">
      <c r="A22" s="63" t="s">
        <v>62</v>
      </c>
      <c r="B22" s="63" t="s">
        <v>9</v>
      </c>
      <c r="C22" s="63" t="s">
        <v>10</v>
      </c>
      <c r="D22" s="57">
        <v>41773</v>
      </c>
      <c r="E22" s="56" t="s">
        <v>63</v>
      </c>
      <c r="F22" s="59">
        <v>7450</v>
      </c>
      <c r="G22" s="59">
        <v>255.28</v>
      </c>
      <c r="H22" s="59">
        <f t="shared" si="0"/>
        <v>1901836</v>
      </c>
      <c r="I22" s="60" t="str">
        <f t="shared" si="1"/>
        <v>Online</v>
      </c>
      <c r="J22" s="61">
        <f t="shared" si="2"/>
        <v>570550.79999999993</v>
      </c>
      <c r="K22" s="60" t="str">
        <f t="shared" si="3"/>
        <v>-</v>
      </c>
    </row>
    <row r="23" spans="1:11" x14ac:dyDescent="0.25">
      <c r="A23" s="63" t="s">
        <v>64</v>
      </c>
      <c r="B23" s="63" t="s">
        <v>9</v>
      </c>
      <c r="C23" s="63" t="s">
        <v>10</v>
      </c>
      <c r="D23" s="57">
        <v>42216</v>
      </c>
      <c r="E23" s="56" t="s">
        <v>65</v>
      </c>
      <c r="F23" s="59">
        <v>1273</v>
      </c>
      <c r="G23" s="59">
        <v>255.28</v>
      </c>
      <c r="H23" s="59">
        <f t="shared" si="0"/>
        <v>324971.44</v>
      </c>
      <c r="I23" s="60" t="str">
        <f t="shared" si="1"/>
        <v>Online</v>
      </c>
      <c r="J23" s="61">
        <f t="shared" si="2"/>
        <v>97491.432000000001</v>
      </c>
      <c r="K23" s="60" t="str">
        <f t="shared" si="3"/>
        <v>-</v>
      </c>
    </row>
    <row r="24" spans="1:11" x14ac:dyDescent="0.25">
      <c r="A24" s="63" t="s">
        <v>45</v>
      </c>
      <c r="B24" s="63" t="s">
        <v>13</v>
      </c>
      <c r="C24" s="63" t="s">
        <v>66</v>
      </c>
      <c r="D24" s="57">
        <v>42551</v>
      </c>
      <c r="E24" s="56" t="s">
        <v>67</v>
      </c>
      <c r="F24" s="59">
        <v>2225</v>
      </c>
      <c r="G24" s="59">
        <v>152.58000000000001</v>
      </c>
      <c r="H24" s="59">
        <f t="shared" si="0"/>
        <v>339490.5</v>
      </c>
      <c r="I24" s="60" t="str">
        <f t="shared" si="1"/>
        <v>Online</v>
      </c>
      <c r="J24" s="61">
        <f t="shared" si="2"/>
        <v>101847.15</v>
      </c>
      <c r="K24" s="60" t="str">
        <f t="shared" si="3"/>
        <v>Voucher 10Rb</v>
      </c>
    </row>
    <row r="25" spans="1:11" x14ac:dyDescent="0.25">
      <c r="A25" s="63" t="s">
        <v>68</v>
      </c>
      <c r="B25" s="63" t="s">
        <v>13</v>
      </c>
      <c r="C25" s="63" t="s">
        <v>20</v>
      </c>
      <c r="D25" s="57">
        <v>41890</v>
      </c>
      <c r="E25" s="56" t="s">
        <v>69</v>
      </c>
      <c r="F25" s="59">
        <v>2187</v>
      </c>
      <c r="G25" s="59">
        <v>9.33</v>
      </c>
      <c r="H25" s="59">
        <f t="shared" si="0"/>
        <v>20404.71</v>
      </c>
      <c r="I25" s="60" t="str">
        <f t="shared" si="1"/>
        <v>Online</v>
      </c>
      <c r="J25" s="61">
        <f t="shared" si="2"/>
        <v>6121.4129999999996</v>
      </c>
      <c r="K25" s="60" t="str">
        <f t="shared" si="3"/>
        <v>Voucher 10Rb</v>
      </c>
    </row>
    <row r="26" spans="1:11" x14ac:dyDescent="0.25">
      <c r="A26" s="63" t="s">
        <v>70</v>
      </c>
      <c r="B26" s="63" t="s">
        <v>33</v>
      </c>
      <c r="C26" s="63" t="s">
        <v>34</v>
      </c>
      <c r="D26" s="57">
        <v>42497</v>
      </c>
      <c r="E26" s="56" t="s">
        <v>71</v>
      </c>
      <c r="F26" s="59">
        <v>5070</v>
      </c>
      <c r="G26" s="59">
        <v>81.73</v>
      </c>
      <c r="H26" s="59">
        <f t="shared" si="0"/>
        <v>414371.10000000003</v>
      </c>
      <c r="I26" s="60" t="str">
        <f t="shared" si="1"/>
        <v>Online</v>
      </c>
      <c r="J26" s="61">
        <f t="shared" si="2"/>
        <v>124311.33</v>
      </c>
      <c r="K26" s="60" t="str">
        <f t="shared" si="3"/>
        <v>-</v>
      </c>
    </row>
    <row r="27" spans="1:11" x14ac:dyDescent="0.25">
      <c r="A27" s="63" t="s">
        <v>72</v>
      </c>
      <c r="B27" s="63" t="s">
        <v>13</v>
      </c>
      <c r="C27" s="63" t="s">
        <v>52</v>
      </c>
      <c r="D27" s="57">
        <v>42877</v>
      </c>
      <c r="E27" s="56" t="s">
        <v>73</v>
      </c>
      <c r="F27" s="59">
        <v>1815</v>
      </c>
      <c r="G27" s="59">
        <v>437.2</v>
      </c>
      <c r="H27" s="59">
        <f t="shared" si="0"/>
        <v>793518</v>
      </c>
      <c r="I27" s="60" t="str">
        <f t="shared" si="1"/>
        <v>Online</v>
      </c>
      <c r="J27" s="61">
        <f t="shared" si="2"/>
        <v>238055.4</v>
      </c>
      <c r="K27" s="60" t="str">
        <f t="shared" si="3"/>
        <v>Voucher 10Rb</v>
      </c>
    </row>
    <row r="28" spans="1:11" x14ac:dyDescent="0.25">
      <c r="A28" s="63" t="s">
        <v>74</v>
      </c>
      <c r="B28" s="63" t="s">
        <v>13</v>
      </c>
      <c r="C28" s="63" t="s">
        <v>20</v>
      </c>
      <c r="D28" s="57">
        <v>41925</v>
      </c>
      <c r="E28" s="56" t="s">
        <v>75</v>
      </c>
      <c r="F28" s="59">
        <v>5398</v>
      </c>
      <c r="G28" s="59">
        <v>9.33</v>
      </c>
      <c r="H28" s="59">
        <f t="shared" si="0"/>
        <v>50363.340000000004</v>
      </c>
      <c r="I28" s="60" t="str">
        <f t="shared" si="1"/>
        <v>Online</v>
      </c>
      <c r="J28" s="61">
        <f t="shared" si="2"/>
        <v>15109.002</v>
      </c>
      <c r="K28" s="60" t="str">
        <f t="shared" si="3"/>
        <v>Voucher 10Rb</v>
      </c>
    </row>
    <row r="29" spans="1:11" x14ac:dyDescent="0.25">
      <c r="A29" s="63" t="s">
        <v>76</v>
      </c>
      <c r="B29" s="63" t="s">
        <v>13</v>
      </c>
      <c r="C29" s="63" t="s">
        <v>20</v>
      </c>
      <c r="D29" s="57">
        <v>40305</v>
      </c>
      <c r="E29" s="56" t="s">
        <v>77</v>
      </c>
      <c r="F29" s="59">
        <v>5822</v>
      </c>
      <c r="G29" s="59">
        <v>9.33</v>
      </c>
      <c r="H29" s="59">
        <f t="shared" si="0"/>
        <v>54319.26</v>
      </c>
      <c r="I29" s="60" t="str">
        <f t="shared" si="1"/>
        <v>Online</v>
      </c>
      <c r="J29" s="61">
        <f t="shared" si="2"/>
        <v>16295.778</v>
      </c>
      <c r="K29" s="60" t="str">
        <f t="shared" si="3"/>
        <v>Voucher 10Rb</v>
      </c>
    </row>
    <row r="30" spans="1:11" x14ac:dyDescent="0.25">
      <c r="A30" s="63" t="s">
        <v>62</v>
      </c>
      <c r="B30" s="63" t="s">
        <v>9</v>
      </c>
      <c r="C30" s="63" t="s">
        <v>55</v>
      </c>
      <c r="D30" s="57">
        <v>41838</v>
      </c>
      <c r="E30" s="56" t="s">
        <v>78</v>
      </c>
      <c r="F30" s="59">
        <v>5124</v>
      </c>
      <c r="G30" s="59">
        <v>47.45</v>
      </c>
      <c r="H30" s="59">
        <f t="shared" si="0"/>
        <v>243133.80000000002</v>
      </c>
      <c r="I30" s="60" t="str">
        <f t="shared" si="1"/>
        <v>Offline</v>
      </c>
      <c r="J30" s="61">
        <f t="shared" si="2"/>
        <v>85096.83</v>
      </c>
      <c r="K30" s="60" t="str">
        <f t="shared" si="3"/>
        <v>Voucher 10Rb</v>
      </c>
    </row>
    <row r="31" spans="1:11" x14ac:dyDescent="0.25">
      <c r="A31" s="63" t="s">
        <v>79</v>
      </c>
      <c r="B31" s="63" t="s">
        <v>13</v>
      </c>
      <c r="C31" s="63" t="s">
        <v>27</v>
      </c>
      <c r="D31" s="57">
        <v>41055</v>
      </c>
      <c r="E31" s="56" t="s">
        <v>80</v>
      </c>
      <c r="F31" s="59">
        <v>2370</v>
      </c>
      <c r="G31" s="59">
        <v>668.27</v>
      </c>
      <c r="H31" s="59">
        <f t="shared" si="0"/>
        <v>1583799.9</v>
      </c>
      <c r="I31" s="60" t="str">
        <f t="shared" si="1"/>
        <v>Offline</v>
      </c>
      <c r="J31" s="61">
        <f t="shared" si="2"/>
        <v>554329.96499999997</v>
      </c>
      <c r="K31" s="60" t="str">
        <f t="shared" si="3"/>
        <v>Voucher 10Rb</v>
      </c>
    </row>
    <row r="32" spans="1:11" x14ac:dyDescent="0.25">
      <c r="A32" s="63" t="s">
        <v>81</v>
      </c>
      <c r="B32" s="63" t="s">
        <v>13</v>
      </c>
      <c r="C32" s="63" t="s">
        <v>52</v>
      </c>
      <c r="D32" s="57">
        <v>41169</v>
      </c>
      <c r="E32" s="56" t="s">
        <v>82</v>
      </c>
      <c r="F32" s="59">
        <v>8661</v>
      </c>
      <c r="G32" s="59">
        <v>437.2</v>
      </c>
      <c r="H32" s="59">
        <f t="shared" si="0"/>
        <v>3786589.1999999997</v>
      </c>
      <c r="I32" s="60" t="str">
        <f t="shared" si="1"/>
        <v>Offline</v>
      </c>
      <c r="J32" s="61">
        <f t="shared" si="2"/>
        <v>1325306.2199999997</v>
      </c>
      <c r="K32" s="60" t="str">
        <f t="shared" si="3"/>
        <v>Voucher 10Rb</v>
      </c>
    </row>
    <row r="33" spans="1:11" x14ac:dyDescent="0.25">
      <c r="A33" s="63" t="s">
        <v>83</v>
      </c>
      <c r="B33" s="63" t="s">
        <v>33</v>
      </c>
      <c r="C33" s="63" t="s">
        <v>34</v>
      </c>
      <c r="D33" s="57">
        <v>41637</v>
      </c>
      <c r="E33" s="56" t="s">
        <v>84</v>
      </c>
      <c r="F33" s="59">
        <v>2125</v>
      </c>
      <c r="G33" s="59">
        <v>81.73</v>
      </c>
      <c r="H33" s="59">
        <f t="shared" si="0"/>
        <v>173676.25</v>
      </c>
      <c r="I33" s="60" t="str">
        <f t="shared" si="1"/>
        <v>Offline</v>
      </c>
      <c r="J33" s="61">
        <f t="shared" si="2"/>
        <v>60786.687499999993</v>
      </c>
      <c r="K33" s="60" t="str">
        <f t="shared" si="3"/>
        <v>Voucher 10Rb</v>
      </c>
    </row>
    <row r="34" spans="1:11" x14ac:dyDescent="0.25">
      <c r="A34" s="63" t="s">
        <v>85</v>
      </c>
      <c r="B34" s="63" t="s">
        <v>9</v>
      </c>
      <c r="C34" s="63" t="s">
        <v>17</v>
      </c>
      <c r="D34" s="57">
        <v>42304</v>
      </c>
      <c r="E34" s="56" t="s">
        <v>86</v>
      </c>
      <c r="F34" s="59">
        <v>2924</v>
      </c>
      <c r="G34" s="59">
        <v>651.21</v>
      </c>
      <c r="H34" s="59">
        <f t="shared" si="0"/>
        <v>1904138.04</v>
      </c>
      <c r="I34" s="60" t="str">
        <f t="shared" si="1"/>
        <v>Online</v>
      </c>
      <c r="J34" s="61">
        <f t="shared" si="2"/>
        <v>571241.41200000001</v>
      </c>
      <c r="K34" s="60" t="str">
        <f t="shared" si="3"/>
        <v>-</v>
      </c>
    </row>
    <row r="35" spans="1:11" x14ac:dyDescent="0.25">
      <c r="A35" s="63" t="s">
        <v>87</v>
      </c>
      <c r="B35" s="63" t="s">
        <v>9</v>
      </c>
      <c r="C35" s="63" t="s">
        <v>27</v>
      </c>
      <c r="D35" s="57">
        <v>42020</v>
      </c>
      <c r="E35" s="56" t="s">
        <v>88</v>
      </c>
      <c r="F35" s="59">
        <v>8250</v>
      </c>
      <c r="G35" s="59">
        <v>668.27</v>
      </c>
      <c r="H35" s="59">
        <f t="shared" si="0"/>
        <v>5513227.5</v>
      </c>
      <c r="I35" s="60" t="str">
        <f t="shared" si="1"/>
        <v>Offline</v>
      </c>
      <c r="J35" s="61">
        <f t="shared" si="2"/>
        <v>1929629.6249999998</v>
      </c>
      <c r="K35" s="60" t="str">
        <f t="shared" si="3"/>
        <v>Voucher 10Rb</v>
      </c>
    </row>
    <row r="36" spans="1:11" x14ac:dyDescent="0.25">
      <c r="A36" s="63" t="s">
        <v>89</v>
      </c>
      <c r="B36" s="63" t="s">
        <v>9</v>
      </c>
      <c r="C36" s="63" t="s">
        <v>66</v>
      </c>
      <c r="D36" s="57">
        <v>42791</v>
      </c>
      <c r="E36" s="56" t="s">
        <v>90</v>
      </c>
      <c r="F36" s="59">
        <v>7327</v>
      </c>
      <c r="G36" s="59">
        <v>152.58000000000001</v>
      </c>
      <c r="H36" s="59">
        <f t="shared" si="0"/>
        <v>1117953.6600000001</v>
      </c>
      <c r="I36" s="60" t="str">
        <f t="shared" si="1"/>
        <v>Online</v>
      </c>
      <c r="J36" s="61">
        <f t="shared" si="2"/>
        <v>335386.09800000006</v>
      </c>
      <c r="K36" s="60" t="str">
        <f t="shared" si="3"/>
        <v>-</v>
      </c>
    </row>
    <row r="37" spans="1:11" x14ac:dyDescent="0.25">
      <c r="A37" s="63" t="s">
        <v>91</v>
      </c>
      <c r="B37" s="63" t="s">
        <v>13</v>
      </c>
      <c r="C37" s="63" t="s">
        <v>34</v>
      </c>
      <c r="D37" s="57">
        <v>42863</v>
      </c>
      <c r="E37" s="56" t="s">
        <v>92</v>
      </c>
      <c r="F37" s="59">
        <v>6409</v>
      </c>
      <c r="G37" s="59">
        <v>81.73</v>
      </c>
      <c r="H37" s="59">
        <f t="shared" si="0"/>
        <v>523807.57</v>
      </c>
      <c r="I37" s="60" t="str">
        <f t="shared" si="1"/>
        <v>Offline</v>
      </c>
      <c r="J37" s="61">
        <f t="shared" si="2"/>
        <v>183332.6495</v>
      </c>
      <c r="K37" s="60" t="str">
        <f t="shared" si="3"/>
        <v>Voucher 10Rb</v>
      </c>
    </row>
    <row r="38" spans="1:11" x14ac:dyDescent="0.25">
      <c r="A38" s="63" t="s">
        <v>93</v>
      </c>
      <c r="B38" s="63" t="s">
        <v>13</v>
      </c>
      <c r="C38" s="63" t="s">
        <v>20</v>
      </c>
      <c r="D38" s="57">
        <v>40869</v>
      </c>
      <c r="E38" s="56" t="s">
        <v>94</v>
      </c>
      <c r="F38" s="59">
        <v>3784</v>
      </c>
      <c r="G38" s="59">
        <v>9.33</v>
      </c>
      <c r="H38" s="59">
        <f t="shared" si="0"/>
        <v>35304.720000000001</v>
      </c>
      <c r="I38" s="60" t="str">
        <f t="shared" si="1"/>
        <v>Online</v>
      </c>
      <c r="J38" s="61">
        <f t="shared" si="2"/>
        <v>10591.415999999999</v>
      </c>
      <c r="K38" s="60" t="str">
        <f t="shared" si="3"/>
        <v>Voucher 10Rb</v>
      </c>
    </row>
    <row r="39" spans="1:11" x14ac:dyDescent="0.25">
      <c r="A39" s="63" t="s">
        <v>79</v>
      </c>
      <c r="B39" s="63" t="s">
        <v>13</v>
      </c>
      <c r="C39" s="63" t="s">
        <v>60</v>
      </c>
      <c r="D39" s="57">
        <v>42749</v>
      </c>
      <c r="E39" s="56" t="s">
        <v>95</v>
      </c>
      <c r="F39" s="59">
        <v>4767</v>
      </c>
      <c r="G39" s="59">
        <v>421.89</v>
      </c>
      <c r="H39" s="59">
        <f t="shared" si="0"/>
        <v>2011149.63</v>
      </c>
      <c r="I39" s="60" t="str">
        <f t="shared" si="1"/>
        <v>Online</v>
      </c>
      <c r="J39" s="61">
        <f t="shared" si="2"/>
        <v>603344.88899999997</v>
      </c>
      <c r="K39" s="60" t="str">
        <f t="shared" si="3"/>
        <v>Voucher 10Rb</v>
      </c>
    </row>
    <row r="40" spans="1:11" x14ac:dyDescent="0.25">
      <c r="A40" s="63" t="s">
        <v>96</v>
      </c>
      <c r="B40" s="63" t="s">
        <v>33</v>
      </c>
      <c r="C40" s="63" t="s">
        <v>17</v>
      </c>
      <c r="D40" s="57">
        <v>41000</v>
      </c>
      <c r="E40" s="56" t="s">
        <v>97</v>
      </c>
      <c r="F40" s="59">
        <v>6708</v>
      </c>
      <c r="G40" s="59">
        <v>651.21</v>
      </c>
      <c r="H40" s="59">
        <f t="shared" si="0"/>
        <v>4368316.6800000006</v>
      </c>
      <c r="I40" s="60" t="str">
        <f t="shared" si="1"/>
        <v>Online</v>
      </c>
      <c r="J40" s="61">
        <f t="shared" si="2"/>
        <v>1310495.0040000002</v>
      </c>
      <c r="K40" s="60" t="str">
        <f t="shared" si="3"/>
        <v>-</v>
      </c>
    </row>
    <row r="41" spans="1:11" x14ac:dyDescent="0.25">
      <c r="A41" s="63" t="s">
        <v>49</v>
      </c>
      <c r="B41" s="63" t="s">
        <v>13</v>
      </c>
      <c r="C41" s="63" t="s">
        <v>17</v>
      </c>
      <c r="D41" s="57">
        <v>40955</v>
      </c>
      <c r="E41" s="56" t="s">
        <v>98</v>
      </c>
      <c r="F41" s="59">
        <v>3987</v>
      </c>
      <c r="G41" s="59">
        <v>651.21</v>
      </c>
      <c r="H41" s="59">
        <f t="shared" si="0"/>
        <v>2596374.27</v>
      </c>
      <c r="I41" s="60" t="str">
        <f t="shared" si="1"/>
        <v>Online</v>
      </c>
      <c r="J41" s="61">
        <f t="shared" si="2"/>
        <v>778912.28099999996</v>
      </c>
      <c r="K41" s="60" t="str">
        <f t="shared" si="3"/>
        <v>Voucher 10Rb</v>
      </c>
    </row>
    <row r="42" spans="1:11" x14ac:dyDescent="0.25">
      <c r="A42" s="63" t="s">
        <v>99</v>
      </c>
      <c r="B42" s="63" t="s">
        <v>13</v>
      </c>
      <c r="C42" s="63" t="s">
        <v>34</v>
      </c>
      <c r="D42" s="57">
        <v>42805</v>
      </c>
      <c r="E42" s="56" t="s">
        <v>100</v>
      </c>
      <c r="F42" s="59">
        <v>3015</v>
      </c>
      <c r="G42" s="59">
        <v>81.73</v>
      </c>
      <c r="H42" s="59">
        <f t="shared" si="0"/>
        <v>246415.95</v>
      </c>
      <c r="I42" s="60" t="str">
        <f t="shared" si="1"/>
        <v>Online</v>
      </c>
      <c r="J42" s="61">
        <f t="shared" si="2"/>
        <v>73924.785000000003</v>
      </c>
      <c r="K42" s="60" t="str">
        <f t="shared" si="3"/>
        <v>Voucher 10Rb</v>
      </c>
    </row>
    <row r="43" spans="1:11" x14ac:dyDescent="0.25">
      <c r="A43" s="63" t="s">
        <v>101</v>
      </c>
      <c r="B43" s="63" t="s">
        <v>33</v>
      </c>
      <c r="C43" s="63" t="s">
        <v>52</v>
      </c>
      <c r="D43" s="57">
        <v>40215</v>
      </c>
      <c r="E43" s="56" t="s">
        <v>102</v>
      </c>
      <c r="F43" s="59">
        <v>7234</v>
      </c>
      <c r="G43" s="59">
        <v>437.2</v>
      </c>
      <c r="H43" s="59">
        <f t="shared" si="0"/>
        <v>3162704.8</v>
      </c>
      <c r="I43" s="60" t="str">
        <f t="shared" si="1"/>
        <v>Online</v>
      </c>
      <c r="J43" s="61">
        <f t="shared" si="2"/>
        <v>948811.44</v>
      </c>
      <c r="K43" s="60" t="str">
        <f t="shared" si="3"/>
        <v>-</v>
      </c>
    </row>
    <row r="44" spans="1:11" x14ac:dyDescent="0.25">
      <c r="A44" s="63" t="s">
        <v>79</v>
      </c>
      <c r="B44" s="63" t="s">
        <v>13</v>
      </c>
      <c r="C44" s="63" t="s">
        <v>14</v>
      </c>
      <c r="D44" s="57">
        <v>41067</v>
      </c>
      <c r="E44" s="56" t="s">
        <v>103</v>
      </c>
      <c r="F44" s="59">
        <v>2117</v>
      </c>
      <c r="G44" s="59">
        <v>205.7</v>
      </c>
      <c r="H44" s="59">
        <f t="shared" si="0"/>
        <v>435466.89999999997</v>
      </c>
      <c r="I44" s="60" t="str">
        <f t="shared" si="1"/>
        <v>Offline</v>
      </c>
      <c r="J44" s="61">
        <f t="shared" si="2"/>
        <v>152413.41499999998</v>
      </c>
      <c r="K44" s="60" t="str">
        <f t="shared" si="3"/>
        <v>Voucher 10Rb</v>
      </c>
    </row>
    <row r="45" spans="1:11" x14ac:dyDescent="0.25">
      <c r="A45" s="63" t="s">
        <v>104</v>
      </c>
      <c r="B45" s="63" t="s">
        <v>9</v>
      </c>
      <c r="C45" s="63" t="s">
        <v>30</v>
      </c>
      <c r="D45" s="57">
        <v>41188</v>
      </c>
      <c r="E45" s="56" t="s">
        <v>105</v>
      </c>
      <c r="F45" s="59">
        <v>171</v>
      </c>
      <c r="G45" s="59">
        <v>154.06</v>
      </c>
      <c r="H45" s="59">
        <f t="shared" si="0"/>
        <v>26344.260000000002</v>
      </c>
      <c r="I45" s="60" t="str">
        <f t="shared" si="1"/>
        <v>Online</v>
      </c>
      <c r="J45" s="61">
        <f t="shared" si="2"/>
        <v>7903.2780000000002</v>
      </c>
      <c r="K45" s="60" t="str">
        <f t="shared" si="3"/>
        <v>-</v>
      </c>
    </row>
    <row r="46" spans="1:11" x14ac:dyDescent="0.25">
      <c r="A46" s="63" t="s">
        <v>87</v>
      </c>
      <c r="B46" s="63" t="s">
        <v>9</v>
      </c>
      <c r="C46" s="63" t="s">
        <v>41</v>
      </c>
      <c r="D46" s="57">
        <v>42322</v>
      </c>
      <c r="E46" s="56" t="s">
        <v>106</v>
      </c>
      <c r="F46" s="59">
        <v>5930</v>
      </c>
      <c r="G46" s="59">
        <v>109.28</v>
      </c>
      <c r="H46" s="59">
        <f t="shared" si="0"/>
        <v>648030.4</v>
      </c>
      <c r="I46" s="60" t="str">
        <f t="shared" si="1"/>
        <v>Online</v>
      </c>
      <c r="J46" s="61">
        <f t="shared" si="2"/>
        <v>194409.12</v>
      </c>
      <c r="K46" s="60" t="str">
        <f t="shared" si="3"/>
        <v>-</v>
      </c>
    </row>
    <row r="47" spans="1:11" x14ac:dyDescent="0.25">
      <c r="A47" s="63" t="s">
        <v>107</v>
      </c>
      <c r="B47" s="63" t="s">
        <v>13</v>
      </c>
      <c r="C47" s="63" t="s">
        <v>14</v>
      </c>
      <c r="D47" s="57">
        <v>42458</v>
      </c>
      <c r="E47" s="56" t="s">
        <v>108</v>
      </c>
      <c r="F47" s="59">
        <v>962</v>
      </c>
      <c r="G47" s="59">
        <v>205.7</v>
      </c>
      <c r="H47" s="59">
        <f t="shared" si="0"/>
        <v>197883.4</v>
      </c>
      <c r="I47" s="60" t="str">
        <f t="shared" si="1"/>
        <v>Offline</v>
      </c>
      <c r="J47" s="61">
        <f t="shared" si="2"/>
        <v>69259.189999999988</v>
      </c>
      <c r="K47" s="60" t="str">
        <f t="shared" si="3"/>
        <v>Voucher 10Rb</v>
      </c>
    </row>
    <row r="48" spans="1:11" x14ac:dyDescent="0.25">
      <c r="A48" s="63" t="s">
        <v>109</v>
      </c>
      <c r="B48" s="63" t="s">
        <v>9</v>
      </c>
      <c r="C48" s="63" t="s">
        <v>52</v>
      </c>
      <c r="D48" s="57">
        <v>42735</v>
      </c>
      <c r="E48" s="56" t="s">
        <v>110</v>
      </c>
      <c r="F48" s="59">
        <v>8867</v>
      </c>
      <c r="G48" s="59">
        <v>437.2</v>
      </c>
      <c r="H48" s="59">
        <f t="shared" si="0"/>
        <v>3876652.4</v>
      </c>
      <c r="I48" s="60" t="str">
        <f t="shared" si="1"/>
        <v>Online</v>
      </c>
      <c r="J48" s="61">
        <f t="shared" si="2"/>
        <v>1162995.72</v>
      </c>
      <c r="K48" s="60" t="str">
        <f t="shared" si="3"/>
        <v>-</v>
      </c>
    </row>
    <row r="49" spans="1:11" x14ac:dyDescent="0.25">
      <c r="A49" s="63" t="s">
        <v>81</v>
      </c>
      <c r="B49" s="63" t="s">
        <v>13</v>
      </c>
      <c r="C49" s="63" t="s">
        <v>34</v>
      </c>
      <c r="D49" s="57">
        <v>40535</v>
      </c>
      <c r="E49" s="56" t="s">
        <v>111</v>
      </c>
      <c r="F49" s="59">
        <v>273</v>
      </c>
      <c r="G49" s="59">
        <v>81.73</v>
      </c>
      <c r="H49" s="59">
        <f t="shared" si="0"/>
        <v>22312.29</v>
      </c>
      <c r="I49" s="60" t="str">
        <f t="shared" si="1"/>
        <v>Online</v>
      </c>
      <c r="J49" s="61">
        <f t="shared" si="2"/>
        <v>6693.6869999999999</v>
      </c>
      <c r="K49" s="60" t="str">
        <f t="shared" si="3"/>
        <v>Voucher 10Rb</v>
      </c>
    </row>
    <row r="50" spans="1:11" x14ac:dyDescent="0.25">
      <c r="A50" s="63" t="s">
        <v>112</v>
      </c>
      <c r="B50" s="63" t="s">
        <v>9</v>
      </c>
      <c r="C50" s="63" t="s">
        <v>41</v>
      </c>
      <c r="D50" s="57">
        <v>41926</v>
      </c>
      <c r="E50" s="56" t="s">
        <v>113</v>
      </c>
      <c r="F50" s="59">
        <v>7842</v>
      </c>
      <c r="G50" s="59">
        <v>109.28</v>
      </c>
      <c r="H50" s="59">
        <f t="shared" si="0"/>
        <v>856973.76</v>
      </c>
      <c r="I50" s="60" t="str">
        <f t="shared" si="1"/>
        <v>Offline</v>
      </c>
      <c r="J50" s="61">
        <f t="shared" si="2"/>
        <v>299940.81599999999</v>
      </c>
      <c r="K50" s="60" t="str">
        <f t="shared" si="3"/>
        <v>Voucher 10Rb</v>
      </c>
    </row>
    <row r="51" spans="1:11" x14ac:dyDescent="0.25">
      <c r="A51" s="63" t="s">
        <v>114</v>
      </c>
      <c r="B51" s="63" t="s">
        <v>9</v>
      </c>
      <c r="C51" s="63" t="s">
        <v>17</v>
      </c>
      <c r="D51" s="57">
        <v>40919</v>
      </c>
      <c r="E51" s="56" t="s">
        <v>115</v>
      </c>
      <c r="F51" s="59">
        <v>1266</v>
      </c>
      <c r="G51" s="59">
        <v>651.21</v>
      </c>
      <c r="H51" s="59">
        <f t="shared" si="0"/>
        <v>824431.8600000001</v>
      </c>
      <c r="I51" s="60" t="str">
        <f t="shared" si="1"/>
        <v>Offline</v>
      </c>
      <c r="J51" s="61">
        <f t="shared" si="2"/>
        <v>288551.15100000001</v>
      </c>
      <c r="K51" s="60" t="str">
        <f t="shared" si="3"/>
        <v>Voucher 10Rb</v>
      </c>
    </row>
    <row r="52" spans="1:11" x14ac:dyDescent="0.25">
      <c r="A52" s="63" t="s">
        <v>116</v>
      </c>
      <c r="B52" s="63" t="s">
        <v>9</v>
      </c>
      <c r="C52" s="63" t="s">
        <v>41</v>
      </c>
      <c r="D52" s="57">
        <v>40211</v>
      </c>
      <c r="E52" s="56" t="s">
        <v>117</v>
      </c>
      <c r="F52" s="59">
        <v>2269</v>
      </c>
      <c r="G52" s="59">
        <v>109.28</v>
      </c>
      <c r="H52" s="59">
        <f t="shared" si="0"/>
        <v>247956.32</v>
      </c>
      <c r="I52" s="60" t="str">
        <f t="shared" si="1"/>
        <v>Online</v>
      </c>
      <c r="J52" s="61">
        <f t="shared" si="2"/>
        <v>74386.895999999993</v>
      </c>
      <c r="K52" s="60" t="str">
        <f t="shared" si="3"/>
        <v>-</v>
      </c>
    </row>
    <row r="53" spans="1:11" x14ac:dyDescent="0.25">
      <c r="A53" s="63" t="s">
        <v>118</v>
      </c>
      <c r="B53" s="63" t="s">
        <v>9</v>
      </c>
      <c r="C53" s="63" t="s">
        <v>20</v>
      </c>
      <c r="D53" s="57">
        <v>41504</v>
      </c>
      <c r="E53" s="56" t="s">
        <v>119</v>
      </c>
      <c r="F53" s="59">
        <v>9606</v>
      </c>
      <c r="G53" s="59">
        <v>9.33</v>
      </c>
      <c r="H53" s="59">
        <f t="shared" si="0"/>
        <v>89623.98</v>
      </c>
      <c r="I53" s="60" t="str">
        <f t="shared" si="1"/>
        <v>Online</v>
      </c>
      <c r="J53" s="61">
        <f t="shared" si="2"/>
        <v>26887.194</v>
      </c>
      <c r="K53" s="60" t="str">
        <f t="shared" si="3"/>
        <v>-</v>
      </c>
    </row>
    <row r="54" spans="1:11" x14ac:dyDescent="0.25">
      <c r="A54" s="63" t="s">
        <v>120</v>
      </c>
      <c r="B54" s="63" t="s">
        <v>33</v>
      </c>
      <c r="C54" s="63" t="s">
        <v>14</v>
      </c>
      <c r="D54" s="57">
        <v>41358</v>
      </c>
      <c r="E54" s="56" t="s">
        <v>121</v>
      </c>
      <c r="F54" s="59">
        <v>4063</v>
      </c>
      <c r="G54" s="59">
        <v>205.7</v>
      </c>
      <c r="H54" s="59">
        <f t="shared" si="0"/>
        <v>835759.1</v>
      </c>
      <c r="I54" s="60" t="str">
        <f t="shared" si="1"/>
        <v>Online</v>
      </c>
      <c r="J54" s="61">
        <f t="shared" si="2"/>
        <v>250727.72999999998</v>
      </c>
      <c r="K54" s="60" t="str">
        <f t="shared" si="3"/>
        <v>-</v>
      </c>
    </row>
    <row r="55" spans="1:11" x14ac:dyDescent="0.25">
      <c r="A55" s="63" t="s">
        <v>122</v>
      </c>
      <c r="B55" s="63" t="s">
        <v>33</v>
      </c>
      <c r="C55" s="63" t="s">
        <v>17</v>
      </c>
      <c r="D55" s="57">
        <v>40873</v>
      </c>
      <c r="E55" s="56" t="s">
        <v>123</v>
      </c>
      <c r="F55" s="59">
        <v>3457</v>
      </c>
      <c r="G55" s="59">
        <v>651.21</v>
      </c>
      <c r="H55" s="59">
        <f t="shared" si="0"/>
        <v>2251232.9700000002</v>
      </c>
      <c r="I55" s="60" t="str">
        <f t="shared" si="1"/>
        <v>Offline</v>
      </c>
      <c r="J55" s="61">
        <f t="shared" si="2"/>
        <v>787931.53950000007</v>
      </c>
      <c r="K55" s="60" t="str">
        <f t="shared" si="3"/>
        <v>Voucher 10Rb</v>
      </c>
    </row>
    <row r="56" spans="1:11" x14ac:dyDescent="0.25">
      <c r="A56" s="63" t="s">
        <v>19</v>
      </c>
      <c r="B56" s="63" t="s">
        <v>9</v>
      </c>
      <c r="C56" s="63" t="s">
        <v>20</v>
      </c>
      <c r="D56" s="57">
        <v>41534</v>
      </c>
      <c r="E56" s="56" t="s">
        <v>124</v>
      </c>
      <c r="F56" s="59">
        <v>7637</v>
      </c>
      <c r="G56" s="59">
        <v>9.33</v>
      </c>
      <c r="H56" s="59">
        <f t="shared" si="0"/>
        <v>71253.210000000006</v>
      </c>
      <c r="I56" s="60" t="str">
        <f t="shared" si="1"/>
        <v>Offline</v>
      </c>
      <c r="J56" s="61">
        <f t="shared" si="2"/>
        <v>24938.623500000002</v>
      </c>
      <c r="K56" s="60" t="str">
        <f t="shared" si="3"/>
        <v>Voucher 10Rb</v>
      </c>
    </row>
    <row r="57" spans="1:11" x14ac:dyDescent="0.25">
      <c r="A57" s="63" t="s">
        <v>125</v>
      </c>
      <c r="B57" s="63" t="s">
        <v>9</v>
      </c>
      <c r="C57" s="63" t="s">
        <v>41</v>
      </c>
      <c r="D57" s="57">
        <v>41068</v>
      </c>
      <c r="E57" s="56" t="s">
        <v>126</v>
      </c>
      <c r="F57" s="59">
        <v>3482</v>
      </c>
      <c r="G57" s="59">
        <v>109.28</v>
      </c>
      <c r="H57" s="59">
        <f t="shared" si="0"/>
        <v>380512.96</v>
      </c>
      <c r="I57" s="60" t="str">
        <f t="shared" si="1"/>
        <v>Online</v>
      </c>
      <c r="J57" s="61">
        <f t="shared" si="2"/>
        <v>114153.88800000001</v>
      </c>
      <c r="K57" s="60" t="str">
        <f t="shared" si="3"/>
        <v>-</v>
      </c>
    </row>
    <row r="58" spans="1:11" x14ac:dyDescent="0.25">
      <c r="A58" s="63" t="s">
        <v>127</v>
      </c>
      <c r="B58" s="63" t="s">
        <v>33</v>
      </c>
      <c r="C58" s="63" t="s">
        <v>41</v>
      </c>
      <c r="D58" s="57">
        <v>40359</v>
      </c>
      <c r="E58" s="56" t="s">
        <v>128</v>
      </c>
      <c r="F58" s="59">
        <v>9905</v>
      </c>
      <c r="G58" s="59">
        <v>109.28</v>
      </c>
      <c r="H58" s="59">
        <f t="shared" si="0"/>
        <v>1082418.3999999999</v>
      </c>
      <c r="I58" s="60" t="str">
        <f t="shared" si="1"/>
        <v>Offline</v>
      </c>
      <c r="J58" s="61">
        <f t="shared" si="2"/>
        <v>378846.43999999994</v>
      </c>
      <c r="K58" s="60" t="str">
        <f t="shared" si="3"/>
        <v>Voucher 10Rb</v>
      </c>
    </row>
    <row r="59" spans="1:11" x14ac:dyDescent="0.25">
      <c r="A59" s="63" t="s">
        <v>129</v>
      </c>
      <c r="B59" s="63" t="s">
        <v>9</v>
      </c>
      <c r="C59" s="63" t="s">
        <v>52</v>
      </c>
      <c r="D59" s="57">
        <v>42058</v>
      </c>
      <c r="E59" s="56" t="s">
        <v>130</v>
      </c>
      <c r="F59" s="59">
        <v>2847</v>
      </c>
      <c r="G59" s="59">
        <v>437.2</v>
      </c>
      <c r="H59" s="59">
        <f t="shared" si="0"/>
        <v>1244708.3999999999</v>
      </c>
      <c r="I59" s="60" t="str">
        <f t="shared" si="1"/>
        <v>Offline</v>
      </c>
      <c r="J59" s="61">
        <f t="shared" si="2"/>
        <v>435647.93999999994</v>
      </c>
      <c r="K59" s="60" t="str">
        <f t="shared" si="3"/>
        <v>Voucher 10Rb</v>
      </c>
    </row>
    <row r="60" spans="1:11" x14ac:dyDescent="0.25">
      <c r="A60" s="63" t="s">
        <v>131</v>
      </c>
      <c r="B60" s="63" t="s">
        <v>13</v>
      </c>
      <c r="C60" s="63" t="s">
        <v>27</v>
      </c>
      <c r="D60" s="57">
        <v>40913</v>
      </c>
      <c r="E60" s="56" t="s">
        <v>132</v>
      </c>
      <c r="F60" s="59">
        <v>282</v>
      </c>
      <c r="G60" s="59">
        <v>668.27</v>
      </c>
      <c r="H60" s="59">
        <f t="shared" si="0"/>
        <v>188452.13999999998</v>
      </c>
      <c r="I60" s="60" t="str">
        <f t="shared" si="1"/>
        <v>Online</v>
      </c>
      <c r="J60" s="61">
        <f t="shared" si="2"/>
        <v>56535.641999999993</v>
      </c>
      <c r="K60" s="60" t="str">
        <f t="shared" si="3"/>
        <v>Voucher 10Rb</v>
      </c>
    </row>
    <row r="61" spans="1:11" x14ac:dyDescent="0.25">
      <c r="A61" s="63" t="s">
        <v>89</v>
      </c>
      <c r="B61" s="63" t="s">
        <v>9</v>
      </c>
      <c r="C61" s="63" t="s">
        <v>52</v>
      </c>
      <c r="D61" s="57">
        <v>41736</v>
      </c>
      <c r="E61" s="56" t="s">
        <v>133</v>
      </c>
      <c r="F61" s="59">
        <v>7215</v>
      </c>
      <c r="G61" s="59">
        <v>437.2</v>
      </c>
      <c r="H61" s="59">
        <f t="shared" si="0"/>
        <v>3154398</v>
      </c>
      <c r="I61" s="60" t="str">
        <f t="shared" si="1"/>
        <v>Offline</v>
      </c>
      <c r="J61" s="61">
        <f t="shared" si="2"/>
        <v>1104039.2999999998</v>
      </c>
      <c r="K61" s="60" t="str">
        <f t="shared" si="3"/>
        <v>Voucher 10Rb</v>
      </c>
    </row>
    <row r="62" spans="1:11" x14ac:dyDescent="0.25">
      <c r="A62" s="63" t="s">
        <v>85</v>
      </c>
      <c r="B62" s="63" t="s">
        <v>9</v>
      </c>
      <c r="C62" s="63" t="s">
        <v>14</v>
      </c>
      <c r="D62" s="57">
        <v>41434</v>
      </c>
      <c r="E62" s="56" t="s">
        <v>134</v>
      </c>
      <c r="F62" s="59">
        <v>682</v>
      </c>
      <c r="G62" s="59">
        <v>205.7</v>
      </c>
      <c r="H62" s="59">
        <f t="shared" si="0"/>
        <v>140287.4</v>
      </c>
      <c r="I62" s="60" t="str">
        <f t="shared" si="1"/>
        <v>Offline</v>
      </c>
      <c r="J62" s="61">
        <f t="shared" si="2"/>
        <v>49100.59</v>
      </c>
      <c r="K62" s="60" t="str">
        <f t="shared" si="3"/>
        <v>Voucher 10Rb</v>
      </c>
    </row>
    <row r="63" spans="1:11" x14ac:dyDescent="0.25">
      <c r="A63" s="63" t="s">
        <v>135</v>
      </c>
      <c r="B63" s="63" t="s">
        <v>9</v>
      </c>
      <c r="C63" s="63" t="s">
        <v>10</v>
      </c>
      <c r="D63" s="57">
        <v>41451</v>
      </c>
      <c r="E63" s="56" t="s">
        <v>136</v>
      </c>
      <c r="F63" s="59">
        <v>4750</v>
      </c>
      <c r="G63" s="59">
        <v>255.28</v>
      </c>
      <c r="H63" s="59">
        <f t="shared" si="0"/>
        <v>1212580</v>
      </c>
      <c r="I63" s="60" t="str">
        <f t="shared" si="1"/>
        <v>Online</v>
      </c>
      <c r="J63" s="61">
        <f t="shared" si="2"/>
        <v>363774</v>
      </c>
      <c r="K63" s="60" t="str">
        <f t="shared" si="3"/>
        <v>-</v>
      </c>
    </row>
    <row r="64" spans="1:11" x14ac:dyDescent="0.25">
      <c r="A64" s="63" t="s">
        <v>54</v>
      </c>
      <c r="B64" s="63" t="s">
        <v>13</v>
      </c>
      <c r="C64" s="63" t="s">
        <v>17</v>
      </c>
      <c r="D64" s="57">
        <v>40854</v>
      </c>
      <c r="E64" s="56" t="s">
        <v>137</v>
      </c>
      <c r="F64" s="59">
        <v>5518</v>
      </c>
      <c r="G64" s="59">
        <v>651.21</v>
      </c>
      <c r="H64" s="59">
        <f t="shared" si="0"/>
        <v>3593376.7800000003</v>
      </c>
      <c r="I64" s="60" t="str">
        <f t="shared" si="1"/>
        <v>Online</v>
      </c>
      <c r="J64" s="61">
        <f t="shared" si="2"/>
        <v>1078013.034</v>
      </c>
      <c r="K64" s="60" t="str">
        <f t="shared" si="3"/>
        <v>Voucher 10Rb</v>
      </c>
    </row>
    <row r="65" spans="1:11" x14ac:dyDescent="0.25">
      <c r="A65" s="63" t="s">
        <v>138</v>
      </c>
      <c r="B65" s="63" t="s">
        <v>13</v>
      </c>
      <c r="C65" s="63" t="s">
        <v>41</v>
      </c>
      <c r="D65" s="57">
        <v>40481</v>
      </c>
      <c r="E65" s="56" t="s">
        <v>139</v>
      </c>
      <c r="F65" s="59">
        <v>6116</v>
      </c>
      <c r="G65" s="59">
        <v>109.28</v>
      </c>
      <c r="H65" s="59">
        <f t="shared" si="0"/>
        <v>668356.48</v>
      </c>
      <c r="I65" s="60" t="str">
        <f t="shared" si="1"/>
        <v>Offline</v>
      </c>
      <c r="J65" s="61">
        <f t="shared" si="2"/>
        <v>233924.76799999998</v>
      </c>
      <c r="K65" s="60" t="str">
        <f t="shared" si="3"/>
        <v>Voucher 10Rb</v>
      </c>
    </row>
    <row r="66" spans="1:11" x14ac:dyDescent="0.25">
      <c r="A66" s="63" t="s">
        <v>140</v>
      </c>
      <c r="B66" s="63" t="s">
        <v>9</v>
      </c>
      <c r="C66" s="63" t="s">
        <v>52</v>
      </c>
      <c r="D66" s="57">
        <v>41560</v>
      </c>
      <c r="E66" s="56" t="s">
        <v>141</v>
      </c>
      <c r="F66" s="59">
        <v>1705</v>
      </c>
      <c r="G66" s="59">
        <v>437.2</v>
      </c>
      <c r="H66" s="59">
        <f t="shared" si="0"/>
        <v>745426</v>
      </c>
      <c r="I66" s="60" t="str">
        <f t="shared" si="1"/>
        <v>Offline</v>
      </c>
      <c r="J66" s="61">
        <f t="shared" si="2"/>
        <v>260899.09999999998</v>
      </c>
      <c r="K66" s="60" t="str">
        <f t="shared" si="3"/>
        <v>Voucher 10Rb</v>
      </c>
    </row>
    <row r="67" spans="1:11" x14ac:dyDescent="0.25">
      <c r="A67" s="63" t="s">
        <v>22</v>
      </c>
      <c r="B67" s="63" t="s">
        <v>9</v>
      </c>
      <c r="C67" s="63" t="s">
        <v>52</v>
      </c>
      <c r="D67" s="57">
        <v>41558</v>
      </c>
      <c r="E67" s="56" t="s">
        <v>142</v>
      </c>
      <c r="F67" s="59">
        <v>4477</v>
      </c>
      <c r="G67" s="59">
        <v>437.2</v>
      </c>
      <c r="H67" s="59">
        <f t="shared" ref="H67:H101" si="4">F67*G67</f>
        <v>1957344.4</v>
      </c>
      <c r="I67" s="60" t="str">
        <f t="shared" ref="I67:I101" si="5">IF(MID(E67,6,2)="OF","Offline","Online")</f>
        <v>Offline</v>
      </c>
      <c r="J67" s="61">
        <f t="shared" ref="J67:J101" si="6">IF(I67="Offline",35%,30%)*H67</f>
        <v>685070.53999999992</v>
      </c>
      <c r="K67" s="60" t="str">
        <f t="shared" ref="K67:K101" si="7">IF(OR(B67="Jawa",I67="Offline"),"Voucher 10Rb","-")</f>
        <v>Voucher 10Rb</v>
      </c>
    </row>
    <row r="68" spans="1:11" x14ac:dyDescent="0.25">
      <c r="A68" s="63" t="s">
        <v>143</v>
      </c>
      <c r="B68" s="63" t="s">
        <v>9</v>
      </c>
      <c r="C68" s="63" t="s">
        <v>34</v>
      </c>
      <c r="D68" s="57">
        <v>41098</v>
      </c>
      <c r="E68" s="56" t="s">
        <v>144</v>
      </c>
      <c r="F68" s="59">
        <v>8656</v>
      </c>
      <c r="G68" s="59">
        <v>81.73</v>
      </c>
      <c r="H68" s="59">
        <f t="shared" si="4"/>
        <v>707454.88</v>
      </c>
      <c r="I68" s="60" t="str">
        <f t="shared" si="5"/>
        <v>Offline</v>
      </c>
      <c r="J68" s="61">
        <f t="shared" si="6"/>
        <v>247609.20799999998</v>
      </c>
      <c r="K68" s="60" t="str">
        <f t="shared" si="7"/>
        <v>Voucher 10Rb</v>
      </c>
    </row>
    <row r="69" spans="1:11" x14ac:dyDescent="0.25">
      <c r="A69" s="63" t="s">
        <v>145</v>
      </c>
      <c r="B69" s="63" t="s">
        <v>9</v>
      </c>
      <c r="C69" s="63" t="s">
        <v>41</v>
      </c>
      <c r="D69" s="57">
        <v>42576</v>
      </c>
      <c r="E69" s="56" t="s">
        <v>146</v>
      </c>
      <c r="F69" s="59">
        <v>5498</v>
      </c>
      <c r="G69" s="59">
        <v>109.28</v>
      </c>
      <c r="H69" s="59">
        <f t="shared" si="4"/>
        <v>600821.44000000006</v>
      </c>
      <c r="I69" s="60" t="str">
        <f t="shared" si="5"/>
        <v>Offline</v>
      </c>
      <c r="J69" s="61">
        <f t="shared" si="6"/>
        <v>210287.50400000002</v>
      </c>
      <c r="K69" s="60" t="str">
        <f t="shared" si="7"/>
        <v>Voucher 10Rb</v>
      </c>
    </row>
    <row r="70" spans="1:11" x14ac:dyDescent="0.25">
      <c r="A70" s="63" t="s">
        <v>147</v>
      </c>
      <c r="B70" s="63" t="s">
        <v>13</v>
      </c>
      <c r="C70" s="63" t="s">
        <v>17</v>
      </c>
      <c r="D70" s="57">
        <v>40475</v>
      </c>
      <c r="E70" s="56" t="s">
        <v>148</v>
      </c>
      <c r="F70" s="59">
        <v>8287</v>
      </c>
      <c r="G70" s="59">
        <v>651.21</v>
      </c>
      <c r="H70" s="59">
        <f t="shared" si="4"/>
        <v>5396577.2700000005</v>
      </c>
      <c r="I70" s="60" t="str">
        <f t="shared" si="5"/>
        <v>Offline</v>
      </c>
      <c r="J70" s="61">
        <f t="shared" si="6"/>
        <v>1888802.0445000001</v>
      </c>
      <c r="K70" s="60" t="str">
        <f t="shared" si="7"/>
        <v>Voucher 10Rb</v>
      </c>
    </row>
    <row r="71" spans="1:11" x14ac:dyDescent="0.25">
      <c r="A71" s="63" t="s">
        <v>149</v>
      </c>
      <c r="B71" s="63" t="s">
        <v>9</v>
      </c>
      <c r="C71" s="63" t="s">
        <v>41</v>
      </c>
      <c r="D71" s="57">
        <v>42119</v>
      </c>
      <c r="E71" s="56" t="s">
        <v>150</v>
      </c>
      <c r="F71" s="59">
        <v>7342</v>
      </c>
      <c r="G71" s="59">
        <v>109.28</v>
      </c>
      <c r="H71" s="59">
        <f t="shared" si="4"/>
        <v>802333.76</v>
      </c>
      <c r="I71" s="60" t="str">
        <f t="shared" si="5"/>
        <v>Offline</v>
      </c>
      <c r="J71" s="61">
        <f t="shared" si="6"/>
        <v>280816.81599999999</v>
      </c>
      <c r="K71" s="60" t="str">
        <f t="shared" si="7"/>
        <v>Voucher 10Rb</v>
      </c>
    </row>
    <row r="72" spans="1:11" x14ac:dyDescent="0.25">
      <c r="A72" s="63" t="s">
        <v>57</v>
      </c>
      <c r="B72" s="63" t="s">
        <v>9</v>
      </c>
      <c r="C72" s="63" t="s">
        <v>17</v>
      </c>
      <c r="D72" s="57">
        <v>41387</v>
      </c>
      <c r="E72" s="56" t="s">
        <v>151</v>
      </c>
      <c r="F72" s="59">
        <v>5010</v>
      </c>
      <c r="G72" s="59">
        <v>651.21</v>
      </c>
      <c r="H72" s="59">
        <f t="shared" si="4"/>
        <v>3262562.1</v>
      </c>
      <c r="I72" s="60" t="str">
        <f t="shared" si="5"/>
        <v>Online</v>
      </c>
      <c r="J72" s="61">
        <f t="shared" si="6"/>
        <v>978768.63</v>
      </c>
      <c r="K72" s="60" t="str">
        <f t="shared" si="7"/>
        <v>-</v>
      </c>
    </row>
    <row r="73" spans="1:11" x14ac:dyDescent="0.25">
      <c r="A73" s="63" t="s">
        <v>138</v>
      </c>
      <c r="B73" s="63" t="s">
        <v>13</v>
      </c>
      <c r="C73" s="63" t="s">
        <v>20</v>
      </c>
      <c r="D73" s="57">
        <v>42230</v>
      </c>
      <c r="E73" s="56" t="s">
        <v>152</v>
      </c>
      <c r="F73" s="59">
        <v>673</v>
      </c>
      <c r="G73" s="59">
        <v>9.33</v>
      </c>
      <c r="H73" s="59">
        <f t="shared" si="4"/>
        <v>6279.09</v>
      </c>
      <c r="I73" s="60" t="str">
        <f t="shared" si="5"/>
        <v>Online</v>
      </c>
      <c r="J73" s="61">
        <f t="shared" si="6"/>
        <v>1883.7269999999999</v>
      </c>
      <c r="K73" s="60" t="str">
        <f t="shared" si="7"/>
        <v>Voucher 10Rb</v>
      </c>
    </row>
    <row r="74" spans="1:11" x14ac:dyDescent="0.25">
      <c r="A74" s="63" t="s">
        <v>153</v>
      </c>
      <c r="B74" s="63" t="s">
        <v>13</v>
      </c>
      <c r="C74" s="63" t="s">
        <v>55</v>
      </c>
      <c r="D74" s="57">
        <v>40689</v>
      </c>
      <c r="E74" s="56" t="s">
        <v>154</v>
      </c>
      <c r="F74" s="59">
        <v>5741</v>
      </c>
      <c r="G74" s="59">
        <v>47.45</v>
      </c>
      <c r="H74" s="59">
        <f t="shared" si="4"/>
        <v>272410.45</v>
      </c>
      <c r="I74" s="60" t="str">
        <f t="shared" si="5"/>
        <v>Online</v>
      </c>
      <c r="J74" s="61">
        <f t="shared" si="6"/>
        <v>81723.134999999995</v>
      </c>
      <c r="K74" s="60" t="str">
        <f t="shared" si="7"/>
        <v>Voucher 10Rb</v>
      </c>
    </row>
    <row r="75" spans="1:11" x14ac:dyDescent="0.25">
      <c r="A75" s="63" t="s">
        <v>89</v>
      </c>
      <c r="B75" s="63" t="s">
        <v>9</v>
      </c>
      <c r="C75" s="63" t="s">
        <v>14</v>
      </c>
      <c r="D75" s="57">
        <v>42875</v>
      </c>
      <c r="E75" s="56" t="s">
        <v>155</v>
      </c>
      <c r="F75" s="59">
        <v>8656</v>
      </c>
      <c r="G75" s="59">
        <v>205.7</v>
      </c>
      <c r="H75" s="59">
        <f t="shared" si="4"/>
        <v>1780539.2</v>
      </c>
      <c r="I75" s="60" t="str">
        <f t="shared" si="5"/>
        <v>Online</v>
      </c>
      <c r="J75" s="61">
        <f t="shared" si="6"/>
        <v>534161.76</v>
      </c>
      <c r="K75" s="60" t="str">
        <f t="shared" si="7"/>
        <v>-</v>
      </c>
    </row>
    <row r="76" spans="1:11" x14ac:dyDescent="0.25">
      <c r="A76" s="63" t="s">
        <v>156</v>
      </c>
      <c r="B76" s="63" t="s">
        <v>9</v>
      </c>
      <c r="C76" s="63" t="s">
        <v>52</v>
      </c>
      <c r="D76" s="57">
        <v>41460</v>
      </c>
      <c r="E76" s="56" t="s">
        <v>157</v>
      </c>
      <c r="F76" s="59">
        <v>9892</v>
      </c>
      <c r="G76" s="59">
        <v>437.2</v>
      </c>
      <c r="H76" s="59">
        <f t="shared" si="4"/>
        <v>4324782.3999999994</v>
      </c>
      <c r="I76" s="60" t="str">
        <f t="shared" si="5"/>
        <v>Offline</v>
      </c>
      <c r="J76" s="61">
        <f t="shared" si="6"/>
        <v>1513673.8399999996</v>
      </c>
      <c r="K76" s="60" t="str">
        <f t="shared" si="7"/>
        <v>Voucher 10Rb</v>
      </c>
    </row>
    <row r="77" spans="1:11" x14ac:dyDescent="0.25">
      <c r="A77" s="63" t="s">
        <v>158</v>
      </c>
      <c r="B77" s="63" t="s">
        <v>9</v>
      </c>
      <c r="C77" s="63" t="s">
        <v>27</v>
      </c>
      <c r="D77" s="57">
        <v>41949</v>
      </c>
      <c r="E77" s="56" t="s">
        <v>159</v>
      </c>
      <c r="F77" s="59">
        <v>6954</v>
      </c>
      <c r="G77" s="59">
        <v>668.27</v>
      </c>
      <c r="H77" s="59">
        <f t="shared" si="4"/>
        <v>4647149.58</v>
      </c>
      <c r="I77" s="60" t="str">
        <f t="shared" si="5"/>
        <v>Offline</v>
      </c>
      <c r="J77" s="61">
        <f t="shared" si="6"/>
        <v>1626502.3529999999</v>
      </c>
      <c r="K77" s="60" t="str">
        <f t="shared" si="7"/>
        <v>Voucher 10Rb</v>
      </c>
    </row>
    <row r="78" spans="1:11" x14ac:dyDescent="0.25">
      <c r="A78" s="63" t="s">
        <v>160</v>
      </c>
      <c r="B78" s="63" t="s">
        <v>13</v>
      </c>
      <c r="C78" s="63" t="s">
        <v>55</v>
      </c>
      <c r="D78" s="57">
        <v>41940</v>
      </c>
      <c r="E78" s="56" t="s">
        <v>161</v>
      </c>
      <c r="F78" s="59">
        <v>9379</v>
      </c>
      <c r="G78" s="59">
        <v>47.45</v>
      </c>
      <c r="H78" s="59">
        <f t="shared" si="4"/>
        <v>445033.55000000005</v>
      </c>
      <c r="I78" s="60" t="str">
        <f t="shared" si="5"/>
        <v>Online</v>
      </c>
      <c r="J78" s="61">
        <f t="shared" si="6"/>
        <v>133510.065</v>
      </c>
      <c r="K78" s="60" t="str">
        <f t="shared" si="7"/>
        <v>Voucher 10Rb</v>
      </c>
    </row>
    <row r="79" spans="1:11" x14ac:dyDescent="0.25">
      <c r="A79" s="63" t="s">
        <v>162</v>
      </c>
      <c r="B79" s="63" t="s">
        <v>13</v>
      </c>
      <c r="C79" s="63" t="s">
        <v>30</v>
      </c>
      <c r="D79" s="57">
        <v>40801</v>
      </c>
      <c r="E79" s="56" t="s">
        <v>163</v>
      </c>
      <c r="F79" s="59">
        <v>3732</v>
      </c>
      <c r="G79" s="59">
        <v>154.06</v>
      </c>
      <c r="H79" s="59">
        <f t="shared" si="4"/>
        <v>574951.92000000004</v>
      </c>
      <c r="I79" s="60" t="str">
        <f t="shared" si="5"/>
        <v>Offline</v>
      </c>
      <c r="J79" s="61">
        <f t="shared" si="6"/>
        <v>201233.17199999999</v>
      </c>
      <c r="K79" s="60" t="str">
        <f t="shared" si="7"/>
        <v>Voucher 10Rb</v>
      </c>
    </row>
    <row r="80" spans="1:11" x14ac:dyDescent="0.25">
      <c r="A80" s="63" t="s">
        <v>164</v>
      </c>
      <c r="B80" s="63" t="s">
        <v>9</v>
      </c>
      <c r="C80" s="63" t="s">
        <v>10</v>
      </c>
      <c r="D80" s="57">
        <v>41058</v>
      </c>
      <c r="E80" s="56" t="s">
        <v>165</v>
      </c>
      <c r="F80" s="59">
        <v>8614</v>
      </c>
      <c r="G80" s="59">
        <v>255.28</v>
      </c>
      <c r="H80" s="59">
        <f t="shared" si="4"/>
        <v>2198981.92</v>
      </c>
      <c r="I80" s="60" t="str">
        <f t="shared" si="5"/>
        <v>Offline</v>
      </c>
      <c r="J80" s="61">
        <f t="shared" si="6"/>
        <v>769643.6719999999</v>
      </c>
      <c r="K80" s="60" t="str">
        <f t="shared" si="7"/>
        <v>Voucher 10Rb</v>
      </c>
    </row>
    <row r="81" spans="1:11" x14ac:dyDescent="0.25">
      <c r="A81" s="63" t="s">
        <v>166</v>
      </c>
      <c r="B81" s="63" t="s">
        <v>9</v>
      </c>
      <c r="C81" s="63" t="s">
        <v>52</v>
      </c>
      <c r="D81" s="57">
        <v>41475</v>
      </c>
      <c r="E81" s="56" t="s">
        <v>167</v>
      </c>
      <c r="F81" s="59">
        <v>9654</v>
      </c>
      <c r="G81" s="59">
        <v>437.2</v>
      </c>
      <c r="H81" s="59">
        <f t="shared" si="4"/>
        <v>4220728.8</v>
      </c>
      <c r="I81" s="60" t="str">
        <f t="shared" si="5"/>
        <v>Online</v>
      </c>
      <c r="J81" s="61">
        <f t="shared" si="6"/>
        <v>1266218.6399999999</v>
      </c>
      <c r="K81" s="60" t="str">
        <f t="shared" si="7"/>
        <v>-</v>
      </c>
    </row>
    <row r="82" spans="1:11" x14ac:dyDescent="0.25">
      <c r="A82" s="63" t="s">
        <v>168</v>
      </c>
      <c r="B82" s="63" t="s">
        <v>9</v>
      </c>
      <c r="C82" s="63" t="s">
        <v>27</v>
      </c>
      <c r="D82" s="57">
        <v>41203</v>
      </c>
      <c r="E82" s="56" t="s">
        <v>169</v>
      </c>
      <c r="F82" s="59">
        <v>4513</v>
      </c>
      <c r="G82" s="59">
        <v>668.27</v>
      </c>
      <c r="H82" s="59">
        <f t="shared" si="4"/>
        <v>3015902.51</v>
      </c>
      <c r="I82" s="60" t="str">
        <f t="shared" si="5"/>
        <v>Offline</v>
      </c>
      <c r="J82" s="61">
        <f t="shared" si="6"/>
        <v>1055565.8784999999</v>
      </c>
      <c r="K82" s="60" t="str">
        <f t="shared" si="7"/>
        <v>Voucher 10Rb</v>
      </c>
    </row>
    <row r="83" spans="1:11" x14ac:dyDescent="0.25">
      <c r="A83" s="63" t="s">
        <v>170</v>
      </c>
      <c r="B83" s="63" t="s">
        <v>13</v>
      </c>
      <c r="C83" s="63" t="s">
        <v>41</v>
      </c>
      <c r="D83" s="57">
        <v>41170</v>
      </c>
      <c r="E83" s="56" t="s">
        <v>171</v>
      </c>
      <c r="F83" s="59">
        <v>7884</v>
      </c>
      <c r="G83" s="59">
        <v>109.28</v>
      </c>
      <c r="H83" s="59">
        <f t="shared" si="4"/>
        <v>861563.52</v>
      </c>
      <c r="I83" s="60" t="str">
        <f t="shared" si="5"/>
        <v>Online</v>
      </c>
      <c r="J83" s="61">
        <f t="shared" si="6"/>
        <v>258469.05599999998</v>
      </c>
      <c r="K83" s="60" t="str">
        <f t="shared" si="7"/>
        <v>Voucher 10Rb</v>
      </c>
    </row>
    <row r="84" spans="1:11" x14ac:dyDescent="0.25">
      <c r="A84" s="63" t="s">
        <v>172</v>
      </c>
      <c r="B84" s="63" t="s">
        <v>9</v>
      </c>
      <c r="C84" s="63" t="s">
        <v>52</v>
      </c>
      <c r="D84" s="57">
        <v>42689</v>
      </c>
      <c r="E84" s="56" t="s">
        <v>173</v>
      </c>
      <c r="F84" s="59">
        <v>6489</v>
      </c>
      <c r="G84" s="59">
        <v>437.2</v>
      </c>
      <c r="H84" s="59">
        <f t="shared" si="4"/>
        <v>2836990.8</v>
      </c>
      <c r="I84" s="60" t="str">
        <f t="shared" si="5"/>
        <v>Online</v>
      </c>
      <c r="J84" s="61">
        <f t="shared" si="6"/>
        <v>851097.23999999987</v>
      </c>
      <c r="K84" s="60" t="str">
        <f t="shared" si="7"/>
        <v>-</v>
      </c>
    </row>
    <row r="85" spans="1:11" x14ac:dyDescent="0.25">
      <c r="A85" s="63" t="s">
        <v>174</v>
      </c>
      <c r="B85" s="63" t="s">
        <v>13</v>
      </c>
      <c r="C85" s="63" t="s">
        <v>66</v>
      </c>
      <c r="D85" s="57">
        <v>40547</v>
      </c>
      <c r="E85" s="56" t="s">
        <v>175</v>
      </c>
      <c r="F85" s="59">
        <v>4085</v>
      </c>
      <c r="G85" s="59">
        <v>152.58000000000001</v>
      </c>
      <c r="H85" s="59">
        <f t="shared" si="4"/>
        <v>623289.30000000005</v>
      </c>
      <c r="I85" s="60" t="str">
        <f t="shared" si="5"/>
        <v>Online</v>
      </c>
      <c r="J85" s="61">
        <f t="shared" si="6"/>
        <v>186986.79</v>
      </c>
      <c r="K85" s="60" t="str">
        <f t="shared" si="7"/>
        <v>Voucher 10Rb</v>
      </c>
    </row>
    <row r="86" spans="1:11" x14ac:dyDescent="0.25">
      <c r="A86" s="63" t="s">
        <v>176</v>
      </c>
      <c r="B86" s="63" t="s">
        <v>13</v>
      </c>
      <c r="C86" s="63" t="s">
        <v>30</v>
      </c>
      <c r="D86" s="57">
        <v>40986</v>
      </c>
      <c r="E86" s="56" t="s">
        <v>177</v>
      </c>
      <c r="F86" s="59">
        <v>6457</v>
      </c>
      <c r="G86" s="59">
        <v>154.06</v>
      </c>
      <c r="H86" s="59">
        <f t="shared" si="4"/>
        <v>994765.42</v>
      </c>
      <c r="I86" s="60" t="str">
        <f t="shared" si="5"/>
        <v>Online</v>
      </c>
      <c r="J86" s="61">
        <f t="shared" si="6"/>
        <v>298429.62599999999</v>
      </c>
      <c r="K86" s="60" t="str">
        <f t="shared" si="7"/>
        <v>Voucher 10Rb</v>
      </c>
    </row>
    <row r="87" spans="1:11" x14ac:dyDescent="0.25">
      <c r="A87" s="63" t="s">
        <v>158</v>
      </c>
      <c r="B87" s="63" t="s">
        <v>9</v>
      </c>
      <c r="C87" s="63" t="s">
        <v>34</v>
      </c>
      <c r="D87" s="57">
        <v>40956</v>
      </c>
      <c r="E87" s="56" t="s">
        <v>178</v>
      </c>
      <c r="F87" s="59">
        <v>6422</v>
      </c>
      <c r="G87" s="59">
        <v>81.73</v>
      </c>
      <c r="H87" s="59">
        <f t="shared" si="4"/>
        <v>524870.06000000006</v>
      </c>
      <c r="I87" s="60" t="str">
        <f t="shared" si="5"/>
        <v>Offline</v>
      </c>
      <c r="J87" s="61">
        <f t="shared" si="6"/>
        <v>183704.52100000001</v>
      </c>
      <c r="K87" s="60" t="str">
        <f t="shared" si="7"/>
        <v>Voucher 10Rb</v>
      </c>
    </row>
    <row r="88" spans="1:11" x14ac:dyDescent="0.25">
      <c r="A88" s="63" t="s">
        <v>19</v>
      </c>
      <c r="B88" s="63" t="s">
        <v>9</v>
      </c>
      <c r="C88" s="63" t="s">
        <v>55</v>
      </c>
      <c r="D88" s="57">
        <v>40559</v>
      </c>
      <c r="E88" s="56" t="s">
        <v>179</v>
      </c>
      <c r="F88" s="59">
        <v>8829</v>
      </c>
      <c r="G88" s="59">
        <v>47.45</v>
      </c>
      <c r="H88" s="59">
        <f t="shared" si="4"/>
        <v>418936.05000000005</v>
      </c>
      <c r="I88" s="60" t="str">
        <f t="shared" si="5"/>
        <v>Offline</v>
      </c>
      <c r="J88" s="61">
        <f t="shared" si="6"/>
        <v>146627.61749999999</v>
      </c>
      <c r="K88" s="60" t="str">
        <f t="shared" si="7"/>
        <v>Voucher 10Rb</v>
      </c>
    </row>
    <row r="89" spans="1:11" x14ac:dyDescent="0.25">
      <c r="A89" s="63" t="s">
        <v>79</v>
      </c>
      <c r="B89" s="63" t="s">
        <v>13</v>
      </c>
      <c r="C89" s="63" t="s">
        <v>10</v>
      </c>
      <c r="D89" s="57">
        <v>41673</v>
      </c>
      <c r="E89" s="56" t="s">
        <v>180</v>
      </c>
      <c r="F89" s="59">
        <v>5559</v>
      </c>
      <c r="G89" s="59">
        <v>255.28</v>
      </c>
      <c r="H89" s="59">
        <f t="shared" si="4"/>
        <v>1419101.52</v>
      </c>
      <c r="I89" s="60" t="str">
        <f t="shared" si="5"/>
        <v>Offline</v>
      </c>
      <c r="J89" s="61">
        <f t="shared" si="6"/>
        <v>496685.53199999995</v>
      </c>
      <c r="K89" s="60" t="str">
        <f t="shared" si="7"/>
        <v>Voucher 10Rb</v>
      </c>
    </row>
    <row r="90" spans="1:11" x14ac:dyDescent="0.25">
      <c r="A90" s="63" t="s">
        <v>181</v>
      </c>
      <c r="B90" s="63" t="s">
        <v>13</v>
      </c>
      <c r="C90" s="63" t="s">
        <v>20</v>
      </c>
      <c r="D90" s="57">
        <v>41029</v>
      </c>
      <c r="E90" s="56" t="s">
        <v>182</v>
      </c>
      <c r="F90" s="59">
        <v>522</v>
      </c>
      <c r="G90" s="59">
        <v>9.33</v>
      </c>
      <c r="H90" s="59">
        <f t="shared" si="4"/>
        <v>4870.26</v>
      </c>
      <c r="I90" s="60" t="str">
        <f t="shared" si="5"/>
        <v>Online</v>
      </c>
      <c r="J90" s="61">
        <f t="shared" si="6"/>
        <v>1461.078</v>
      </c>
      <c r="K90" s="60" t="str">
        <f t="shared" si="7"/>
        <v>Voucher 10Rb</v>
      </c>
    </row>
    <row r="91" spans="1:11" x14ac:dyDescent="0.25">
      <c r="A91" s="63" t="s">
        <v>183</v>
      </c>
      <c r="B91" s="63" t="s">
        <v>13</v>
      </c>
      <c r="C91" s="63" t="s">
        <v>55</v>
      </c>
      <c r="D91" s="57">
        <v>42666</v>
      </c>
      <c r="E91" s="56" t="s">
        <v>184</v>
      </c>
      <c r="F91" s="59">
        <v>4660</v>
      </c>
      <c r="G91" s="59">
        <v>47.45</v>
      </c>
      <c r="H91" s="59">
        <f t="shared" si="4"/>
        <v>221117</v>
      </c>
      <c r="I91" s="60" t="str">
        <f t="shared" si="5"/>
        <v>Offline</v>
      </c>
      <c r="J91" s="61">
        <f t="shared" si="6"/>
        <v>77390.95</v>
      </c>
      <c r="K91" s="60" t="str">
        <f t="shared" si="7"/>
        <v>Voucher 10Rb</v>
      </c>
    </row>
    <row r="92" spans="1:11" x14ac:dyDescent="0.25">
      <c r="A92" s="63" t="s">
        <v>122</v>
      </c>
      <c r="B92" s="63" t="s">
        <v>33</v>
      </c>
      <c r="C92" s="63" t="s">
        <v>17</v>
      </c>
      <c r="D92" s="57">
        <v>42710</v>
      </c>
      <c r="E92" s="56" t="s">
        <v>185</v>
      </c>
      <c r="F92" s="59">
        <v>948</v>
      </c>
      <c r="G92" s="59">
        <v>651.21</v>
      </c>
      <c r="H92" s="59">
        <f t="shared" si="4"/>
        <v>617347.08000000007</v>
      </c>
      <c r="I92" s="60" t="str">
        <f t="shared" si="5"/>
        <v>Offline</v>
      </c>
      <c r="J92" s="61">
        <f t="shared" si="6"/>
        <v>216071.478</v>
      </c>
      <c r="K92" s="60" t="str">
        <f t="shared" si="7"/>
        <v>Voucher 10Rb</v>
      </c>
    </row>
    <row r="93" spans="1:11" x14ac:dyDescent="0.25">
      <c r="A93" s="63" t="s">
        <v>85</v>
      </c>
      <c r="B93" s="63" t="s">
        <v>9</v>
      </c>
      <c r="C93" s="63" t="s">
        <v>55</v>
      </c>
      <c r="D93" s="57">
        <v>41827</v>
      </c>
      <c r="E93" s="56" t="s">
        <v>186</v>
      </c>
      <c r="F93" s="59">
        <v>9389</v>
      </c>
      <c r="G93" s="59">
        <v>47.45</v>
      </c>
      <c r="H93" s="59">
        <f t="shared" si="4"/>
        <v>445508.05000000005</v>
      </c>
      <c r="I93" s="60" t="str">
        <f t="shared" si="5"/>
        <v>Offline</v>
      </c>
      <c r="J93" s="61">
        <f t="shared" si="6"/>
        <v>155927.8175</v>
      </c>
      <c r="K93" s="60" t="str">
        <f t="shared" si="7"/>
        <v>Voucher 10Rb</v>
      </c>
    </row>
    <row r="94" spans="1:11" x14ac:dyDescent="0.25">
      <c r="A94" s="63" t="s">
        <v>101</v>
      </c>
      <c r="B94" s="63" t="s">
        <v>33</v>
      </c>
      <c r="C94" s="63" t="s">
        <v>17</v>
      </c>
      <c r="D94" s="57">
        <v>41073</v>
      </c>
      <c r="E94" s="56" t="s">
        <v>187</v>
      </c>
      <c r="F94" s="59">
        <v>2021</v>
      </c>
      <c r="G94" s="59">
        <v>651.21</v>
      </c>
      <c r="H94" s="59">
        <f t="shared" si="4"/>
        <v>1316095.4100000001</v>
      </c>
      <c r="I94" s="60" t="str">
        <f t="shared" si="5"/>
        <v>Online</v>
      </c>
      <c r="J94" s="61">
        <f t="shared" si="6"/>
        <v>394828.62300000002</v>
      </c>
      <c r="K94" s="60" t="str">
        <f t="shared" si="7"/>
        <v>-</v>
      </c>
    </row>
    <row r="95" spans="1:11" x14ac:dyDescent="0.25">
      <c r="A95" s="63" t="s">
        <v>188</v>
      </c>
      <c r="B95" s="63" t="s">
        <v>13</v>
      </c>
      <c r="C95" s="63" t="s">
        <v>52</v>
      </c>
      <c r="D95" s="57">
        <v>40508</v>
      </c>
      <c r="E95" s="56" t="s">
        <v>189</v>
      </c>
      <c r="F95" s="59">
        <v>7910</v>
      </c>
      <c r="G95" s="59">
        <v>437.2</v>
      </c>
      <c r="H95" s="59">
        <f t="shared" si="4"/>
        <v>3458252</v>
      </c>
      <c r="I95" s="60" t="str">
        <f t="shared" si="5"/>
        <v>Online</v>
      </c>
      <c r="J95" s="61">
        <f t="shared" si="6"/>
        <v>1037475.6</v>
      </c>
      <c r="K95" s="60" t="str">
        <f t="shared" si="7"/>
        <v>Voucher 10Rb</v>
      </c>
    </row>
    <row r="96" spans="1:11" x14ac:dyDescent="0.25">
      <c r="A96" s="63" t="s">
        <v>190</v>
      </c>
      <c r="B96" s="63" t="s">
        <v>9</v>
      </c>
      <c r="C96" s="63" t="s">
        <v>55</v>
      </c>
      <c r="D96" s="57">
        <v>40582</v>
      </c>
      <c r="E96" s="56" t="s">
        <v>191</v>
      </c>
      <c r="F96" s="59">
        <v>8156</v>
      </c>
      <c r="G96" s="59">
        <v>47.45</v>
      </c>
      <c r="H96" s="59">
        <f t="shared" si="4"/>
        <v>387002.2</v>
      </c>
      <c r="I96" s="60" t="str">
        <f t="shared" si="5"/>
        <v>Offline</v>
      </c>
      <c r="J96" s="61">
        <f t="shared" si="6"/>
        <v>135450.76999999999</v>
      </c>
      <c r="K96" s="60" t="str">
        <f t="shared" si="7"/>
        <v>Voucher 10Rb</v>
      </c>
    </row>
    <row r="97" spans="1:11" x14ac:dyDescent="0.25">
      <c r="A97" s="63" t="s">
        <v>76</v>
      </c>
      <c r="B97" s="63" t="s">
        <v>13</v>
      </c>
      <c r="C97" s="63" t="s">
        <v>41</v>
      </c>
      <c r="D97" s="57">
        <v>40750</v>
      </c>
      <c r="E97" s="56" t="s">
        <v>192</v>
      </c>
      <c r="F97" s="59">
        <v>888</v>
      </c>
      <c r="G97" s="59">
        <v>109.28</v>
      </c>
      <c r="H97" s="59">
        <f t="shared" si="4"/>
        <v>97040.639999999999</v>
      </c>
      <c r="I97" s="60" t="str">
        <f t="shared" si="5"/>
        <v>Online</v>
      </c>
      <c r="J97" s="61">
        <f t="shared" si="6"/>
        <v>29112.191999999999</v>
      </c>
      <c r="K97" s="60" t="str">
        <f t="shared" si="7"/>
        <v>Voucher 10Rb</v>
      </c>
    </row>
    <row r="98" spans="1:11" x14ac:dyDescent="0.25">
      <c r="A98" s="63" t="s">
        <v>193</v>
      </c>
      <c r="B98" s="63" t="s">
        <v>13</v>
      </c>
      <c r="C98" s="63" t="s">
        <v>20</v>
      </c>
      <c r="D98" s="57">
        <v>40858</v>
      </c>
      <c r="E98" s="56" t="s">
        <v>194</v>
      </c>
      <c r="F98" s="59">
        <v>6267</v>
      </c>
      <c r="G98" s="59">
        <v>9.33</v>
      </c>
      <c r="H98" s="59">
        <f t="shared" si="4"/>
        <v>58471.11</v>
      </c>
      <c r="I98" s="60" t="str">
        <f t="shared" si="5"/>
        <v>Offline</v>
      </c>
      <c r="J98" s="61">
        <f t="shared" si="6"/>
        <v>20464.888499999997</v>
      </c>
      <c r="K98" s="60" t="str">
        <f t="shared" si="7"/>
        <v>Voucher 10Rb</v>
      </c>
    </row>
    <row r="99" spans="1:11" x14ac:dyDescent="0.25">
      <c r="A99" s="63" t="s">
        <v>122</v>
      </c>
      <c r="B99" s="63" t="s">
        <v>33</v>
      </c>
      <c r="C99" s="63" t="s">
        <v>30</v>
      </c>
      <c r="D99" s="57">
        <v>42522</v>
      </c>
      <c r="E99" s="56" t="s">
        <v>195</v>
      </c>
      <c r="F99" s="59">
        <v>1485</v>
      </c>
      <c r="G99" s="59">
        <v>154.06</v>
      </c>
      <c r="H99" s="59">
        <f t="shared" si="4"/>
        <v>228779.1</v>
      </c>
      <c r="I99" s="60" t="str">
        <f t="shared" si="5"/>
        <v>Offline</v>
      </c>
      <c r="J99" s="61">
        <f t="shared" si="6"/>
        <v>80072.684999999998</v>
      </c>
      <c r="K99" s="60" t="str">
        <f t="shared" si="7"/>
        <v>Voucher 10Rb</v>
      </c>
    </row>
    <row r="100" spans="1:11" x14ac:dyDescent="0.25">
      <c r="A100" s="63" t="s">
        <v>158</v>
      </c>
      <c r="B100" s="63" t="s">
        <v>9</v>
      </c>
      <c r="C100" s="63" t="s">
        <v>34</v>
      </c>
      <c r="D100" s="57">
        <v>42215</v>
      </c>
      <c r="E100" s="56" t="s">
        <v>196</v>
      </c>
      <c r="F100" s="59">
        <v>5767</v>
      </c>
      <c r="G100" s="59">
        <v>81.73</v>
      </c>
      <c r="H100" s="59">
        <f t="shared" si="4"/>
        <v>471336.91000000003</v>
      </c>
      <c r="I100" s="60" t="str">
        <f t="shared" si="5"/>
        <v>Offline</v>
      </c>
      <c r="J100" s="61">
        <f t="shared" si="6"/>
        <v>164967.9185</v>
      </c>
      <c r="K100" s="60" t="str">
        <f t="shared" si="7"/>
        <v>Voucher 10Rb</v>
      </c>
    </row>
    <row r="101" spans="1:11" x14ac:dyDescent="0.25">
      <c r="A101" s="63" t="s">
        <v>197</v>
      </c>
      <c r="B101" s="63" t="s">
        <v>13</v>
      </c>
      <c r="C101" s="63" t="s">
        <v>27</v>
      </c>
      <c r="D101" s="57">
        <v>40949</v>
      </c>
      <c r="E101" s="56" t="s">
        <v>198</v>
      </c>
      <c r="F101" s="59">
        <v>5367</v>
      </c>
      <c r="G101" s="59">
        <v>668.27</v>
      </c>
      <c r="H101" s="59">
        <f t="shared" si="4"/>
        <v>3586605.09</v>
      </c>
      <c r="I101" s="60" t="str">
        <f t="shared" si="5"/>
        <v>Offline</v>
      </c>
      <c r="J101" s="61">
        <f t="shared" si="6"/>
        <v>1255311.7814999998</v>
      </c>
      <c r="K101" s="60" t="str">
        <f t="shared" si="7"/>
        <v>Voucher 10Rb</v>
      </c>
    </row>
  </sheetData>
  <conditionalFormatting sqref="E2:E101"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A36E-401A-472C-8E81-F07E6CCBD7CC}">
  <sheetPr codeName="Sheet20">
    <tabColor theme="1"/>
  </sheetPr>
  <dimension ref="A1"/>
  <sheetViews>
    <sheetView topLeftCell="XFD1" workbookViewId="0">
      <selection sqref="A1:XFD1"/>
    </sheetView>
  </sheetViews>
  <sheetFormatPr defaultColWidth="0" defaultRowHeight="15" x14ac:dyDescent="0.25"/>
  <cols>
    <col min="1" max="16384" width="8.7109375" hidden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20EE0-1FEA-40A6-AF1E-80A535032495}">
  <sheetPr codeName="Sheet3">
    <tabColor theme="5" tint="0.59999389629810485"/>
  </sheetPr>
  <dimension ref="A1:I11"/>
  <sheetViews>
    <sheetView topLeftCell="B1" workbookViewId="0">
      <selection activeCell="I1" sqref="I1"/>
    </sheetView>
  </sheetViews>
  <sheetFormatPr defaultRowHeight="15" x14ac:dyDescent="0.25"/>
  <cols>
    <col min="1" max="1" width="15" bestFit="1" customWidth="1"/>
    <col min="2" max="2" width="8" bestFit="1" customWidth="1"/>
    <col min="3" max="3" width="13.140625" bestFit="1" customWidth="1"/>
    <col min="4" max="4" width="10.42578125" bestFit="1" customWidth="1"/>
    <col min="5" max="5" width="10.28515625" bestFit="1" customWidth="1"/>
    <col min="8" max="8" width="12.855468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1" t="s">
        <v>4</v>
      </c>
      <c r="I1" s="64" t="s">
        <v>0</v>
      </c>
    </row>
    <row r="2" spans="1:9" x14ac:dyDescent="0.25">
      <c r="A2" t="s">
        <v>8</v>
      </c>
      <c r="B2" t="s">
        <v>9</v>
      </c>
      <c r="C2" t="s">
        <v>10</v>
      </c>
      <c r="D2" s="2">
        <v>40326</v>
      </c>
      <c r="E2" s="9" t="s">
        <v>210</v>
      </c>
      <c r="H2" s="10" t="s">
        <v>23</v>
      </c>
      <c r="I2" t="str">
        <f ca="1">OFFSET(E1,MATCH(H2,$E$2:$E$11,0),-4)</f>
        <v>Bandar Lampung</v>
      </c>
    </row>
    <row r="3" spans="1:9" x14ac:dyDescent="0.25">
      <c r="A3" t="s">
        <v>12</v>
      </c>
      <c r="B3" t="s">
        <v>13</v>
      </c>
      <c r="C3" t="s">
        <v>14</v>
      </c>
      <c r="D3" s="2">
        <v>41143</v>
      </c>
      <c r="E3" s="9" t="s">
        <v>211</v>
      </c>
    </row>
    <row r="4" spans="1:9" x14ac:dyDescent="0.25">
      <c r="A4" t="s">
        <v>16</v>
      </c>
      <c r="B4" t="s">
        <v>13</v>
      </c>
      <c r="C4" t="s">
        <v>17</v>
      </c>
      <c r="D4" s="2">
        <v>41761</v>
      </c>
      <c r="E4" t="s">
        <v>18</v>
      </c>
    </row>
    <row r="5" spans="1:9" x14ac:dyDescent="0.25">
      <c r="A5" t="s">
        <v>19</v>
      </c>
      <c r="B5" t="s">
        <v>9</v>
      </c>
      <c r="C5" t="s">
        <v>20</v>
      </c>
      <c r="D5" s="2">
        <v>41810</v>
      </c>
      <c r="E5" t="s">
        <v>21</v>
      </c>
    </row>
    <row r="6" spans="1:9" x14ac:dyDescent="0.25">
      <c r="A6" t="s">
        <v>22</v>
      </c>
      <c r="B6" t="s">
        <v>9</v>
      </c>
      <c r="C6" t="s">
        <v>17</v>
      </c>
      <c r="D6" s="2">
        <v>41306</v>
      </c>
      <c r="E6" t="s">
        <v>23</v>
      </c>
    </row>
    <row r="7" spans="1:9" x14ac:dyDescent="0.25">
      <c r="A7" t="s">
        <v>24</v>
      </c>
      <c r="B7" t="s">
        <v>13</v>
      </c>
      <c r="C7" t="s">
        <v>10</v>
      </c>
      <c r="D7" s="2">
        <v>42039</v>
      </c>
      <c r="E7" t="s">
        <v>25</v>
      </c>
    </row>
    <row r="8" spans="1:9" x14ac:dyDescent="0.25">
      <c r="A8" t="s">
        <v>26</v>
      </c>
      <c r="B8" t="s">
        <v>9</v>
      </c>
      <c r="C8" t="s">
        <v>27</v>
      </c>
      <c r="D8" s="2">
        <v>40656</v>
      </c>
      <c r="E8" t="s">
        <v>28</v>
      </c>
    </row>
    <row r="9" spans="1:9" x14ac:dyDescent="0.25">
      <c r="A9" t="s">
        <v>29</v>
      </c>
      <c r="B9" t="s">
        <v>13</v>
      </c>
      <c r="C9" t="s">
        <v>30</v>
      </c>
      <c r="D9" s="2">
        <v>41107</v>
      </c>
      <c r="E9" t="s">
        <v>31</v>
      </c>
    </row>
    <row r="10" spans="1:9" x14ac:dyDescent="0.25">
      <c r="A10" t="s">
        <v>32</v>
      </c>
      <c r="B10" t="s">
        <v>33</v>
      </c>
      <c r="C10" t="s">
        <v>34</v>
      </c>
      <c r="D10" s="2">
        <v>42199</v>
      </c>
      <c r="E10" t="s">
        <v>35</v>
      </c>
    </row>
    <row r="11" spans="1:9" x14ac:dyDescent="0.25">
      <c r="A11" t="s">
        <v>36</v>
      </c>
      <c r="B11" t="s">
        <v>13</v>
      </c>
      <c r="C11" t="s">
        <v>14</v>
      </c>
      <c r="D11" s="2">
        <v>41747</v>
      </c>
      <c r="E11" t="s">
        <v>37</v>
      </c>
    </row>
  </sheetData>
  <conditionalFormatting sqref="E2:E11">
    <cfRule type="duplicateValues" dxfId="2" priority="1"/>
    <cfRule type="duplicateValues" dxfId="1" priority="2"/>
  </conditionalFormatting>
  <dataValidations count="1">
    <dataValidation type="list" allowBlank="1" showInputMessage="1" showErrorMessage="1" sqref="H2" xr:uid="{9B8FC462-2424-432A-9495-AABE9C464F93}">
      <formula1>$E$2:$E$11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682CC-7839-40DE-B103-F919F0EC0840}">
  <sheetPr codeName="Sheet10">
    <tabColor theme="5" tint="0.59999389629810485"/>
  </sheetPr>
  <dimension ref="B1:N22"/>
  <sheetViews>
    <sheetView workbookViewId="0">
      <selection activeCell="B2" sqref="B2"/>
    </sheetView>
  </sheetViews>
  <sheetFormatPr defaultRowHeight="15" x14ac:dyDescent="0.25"/>
  <cols>
    <col min="1" max="1" width="1.5703125" customWidth="1"/>
    <col min="2" max="2" width="11.140625" bestFit="1" customWidth="1"/>
    <col min="3" max="5" width="10" bestFit="1" customWidth="1"/>
    <col min="6" max="14" width="10.5703125" bestFit="1" customWidth="1"/>
  </cols>
  <sheetData>
    <row r="1" spans="2:14" x14ac:dyDescent="0.25">
      <c r="B1" s="15" cm="1">
        <f t="array" ref="B1">MATCH(TRUE,C$3:N$3&lt;&gt;0,0)</f>
        <v>4</v>
      </c>
      <c r="C1" s="15" t="s">
        <v>215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2:14" x14ac:dyDescent="0.25">
      <c r="B2" s="65" t="s">
        <v>222</v>
      </c>
      <c r="C2" s="24">
        <v>44927</v>
      </c>
      <c r="D2" s="24">
        <v>44958</v>
      </c>
      <c r="E2" s="24">
        <v>44986</v>
      </c>
      <c r="F2" s="24">
        <v>45017</v>
      </c>
      <c r="G2" s="24">
        <v>45047</v>
      </c>
      <c r="H2" s="24">
        <v>45078</v>
      </c>
      <c r="I2" s="24">
        <v>45108</v>
      </c>
      <c r="J2" s="24">
        <v>45139</v>
      </c>
      <c r="K2" s="24">
        <v>45170</v>
      </c>
      <c r="L2" s="24">
        <v>45200</v>
      </c>
      <c r="M2" s="24">
        <v>45231</v>
      </c>
      <c r="N2" s="24">
        <v>45261</v>
      </c>
    </row>
    <row r="3" spans="2:14" x14ac:dyDescent="0.25">
      <c r="B3" s="25" cm="1">
        <f t="array" aca="1" ref="B3" ca="1">OFFSET($B$2,0,MATCH(TRUE,$C3:$N3&lt;&gt;0,0))</f>
        <v>45017</v>
      </c>
      <c r="C3" s="14">
        <v>0</v>
      </c>
      <c r="D3" s="14">
        <v>0</v>
      </c>
      <c r="E3" s="14">
        <v>0</v>
      </c>
      <c r="F3" s="14">
        <v>-3993790.6458333335</v>
      </c>
      <c r="G3" s="14">
        <v>-3993790.6458333335</v>
      </c>
      <c r="H3" s="14">
        <v>-3993790.6458333335</v>
      </c>
      <c r="I3" s="14">
        <v>-3993790.6458333335</v>
      </c>
      <c r="J3" s="14">
        <v>-3993790.6458333335</v>
      </c>
      <c r="K3" s="14">
        <v>-3993790.6458333335</v>
      </c>
      <c r="L3" s="14">
        <v>-3993790.6458333335</v>
      </c>
      <c r="M3" s="14">
        <v>-3993790.6458333335</v>
      </c>
      <c r="N3" s="14">
        <v>-3993790.6458333335</v>
      </c>
    </row>
    <row r="4" spans="2:14" x14ac:dyDescent="0.25">
      <c r="B4" s="25" cm="1">
        <f t="array" aca="1" ref="B4" ca="1">OFFSET($B$2,0,MATCH(TRUE,$C4:$N4&lt;&gt;0,0))</f>
        <v>45170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-2684759.5416666665</v>
      </c>
      <c r="L4" s="14">
        <v>-2684759.5416666665</v>
      </c>
      <c r="M4" s="14">
        <v>-2684759.5416666665</v>
      </c>
      <c r="N4" s="14">
        <v>-2684759.5416666665</v>
      </c>
    </row>
    <row r="5" spans="2:14" x14ac:dyDescent="0.25">
      <c r="B5" s="25" cm="1">
        <f t="array" aca="1" ref="B5" ca="1">OFFSET($B$2,0,MATCH(TRUE,$C5:$N5&lt;&gt;0,0))</f>
        <v>45047</v>
      </c>
      <c r="C5" s="14">
        <v>0</v>
      </c>
      <c r="D5" s="14">
        <v>0</v>
      </c>
      <c r="E5" s="14">
        <v>0</v>
      </c>
      <c r="F5" s="14">
        <v>0</v>
      </c>
      <c r="G5" s="14">
        <v>-1214018.15625</v>
      </c>
      <c r="H5" s="14">
        <v>-1214018.15625</v>
      </c>
      <c r="I5" s="14">
        <v>-1214018.15625</v>
      </c>
      <c r="J5" s="14">
        <v>-1214018.15625</v>
      </c>
      <c r="K5" s="14">
        <v>-1214018.15625</v>
      </c>
      <c r="L5" s="14">
        <v>-1214018.15625</v>
      </c>
      <c r="M5" s="14">
        <v>-1214018.15625</v>
      </c>
      <c r="N5" s="14">
        <v>-1214018.15625</v>
      </c>
    </row>
    <row r="6" spans="2:14" x14ac:dyDescent="0.25">
      <c r="B6" s="25" cm="1">
        <f t="array" aca="1" ref="B6" ca="1">OFFSET($B$2,0,MATCH(TRUE,$C6:$N6&lt;&gt;0,0))</f>
        <v>45108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-2285834.6354166665</v>
      </c>
      <c r="J6" s="14">
        <v>-2285834.6354166665</v>
      </c>
      <c r="K6" s="14">
        <v>-2285834.6354166665</v>
      </c>
      <c r="L6" s="14">
        <v>-2285834.6354166665</v>
      </c>
      <c r="M6" s="14">
        <v>-2285834.6354166665</v>
      </c>
      <c r="N6" s="14">
        <v>-2285834.6354166665</v>
      </c>
    </row>
    <row r="7" spans="2:14" x14ac:dyDescent="0.25">
      <c r="B7" s="25" cm="1">
        <f t="array" aca="1" ref="B7" ca="1">OFFSET($B$2,0,MATCH(TRUE,$C7:$N7&lt;&gt;0,0))</f>
        <v>45017</v>
      </c>
      <c r="C7" s="14">
        <v>0</v>
      </c>
      <c r="D7" s="14">
        <v>0</v>
      </c>
      <c r="E7" s="14">
        <v>0</v>
      </c>
      <c r="F7" s="14">
        <v>-1445000</v>
      </c>
      <c r="G7" s="14">
        <v>-1445000</v>
      </c>
      <c r="H7" s="14">
        <v>-1445000</v>
      </c>
      <c r="I7" s="14">
        <v>-1445000</v>
      </c>
      <c r="J7" s="14">
        <v>-1445000</v>
      </c>
      <c r="K7" s="14">
        <v>-1445000</v>
      </c>
      <c r="L7" s="14">
        <v>-1445000</v>
      </c>
      <c r="M7" s="14">
        <v>-1445000</v>
      </c>
      <c r="N7" s="14">
        <v>-1445000</v>
      </c>
    </row>
    <row r="8" spans="2:14" x14ac:dyDescent="0.25">
      <c r="B8" s="25" cm="1">
        <f t="array" aca="1" ref="B8" ca="1">OFFSET($B$2,0,MATCH(TRUE,$C8:$N8&lt;&gt;0,0))</f>
        <v>45047</v>
      </c>
      <c r="C8" s="14">
        <v>0</v>
      </c>
      <c r="D8" s="14">
        <v>0</v>
      </c>
      <c r="E8" s="14">
        <v>0</v>
      </c>
      <c r="F8" s="14">
        <v>0</v>
      </c>
      <c r="G8" s="14">
        <v>-840000</v>
      </c>
      <c r="H8" s="14">
        <v>-840000</v>
      </c>
      <c r="I8" s="14">
        <v>-840000</v>
      </c>
      <c r="J8" s="14">
        <v>-840000</v>
      </c>
      <c r="K8" s="14">
        <v>-840000</v>
      </c>
      <c r="L8" s="14">
        <v>-840000</v>
      </c>
      <c r="M8" s="14">
        <v>-840000</v>
      </c>
      <c r="N8" s="14">
        <v>-840000</v>
      </c>
    </row>
    <row r="9" spans="2:14" x14ac:dyDescent="0.25">
      <c r="B9" s="25" cm="1">
        <f t="array" aca="1" ref="B9" ca="1">OFFSET($B$2,0,MATCH(TRUE,$C9:$N9&lt;&gt;0,0))</f>
        <v>45108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-833333.33333333337</v>
      </c>
      <c r="J9" s="14">
        <v>-833333.33333333337</v>
      </c>
      <c r="K9" s="14">
        <v>-833333.33333333337</v>
      </c>
      <c r="L9" s="14">
        <v>-833333.33333333337</v>
      </c>
      <c r="M9" s="14">
        <v>-833333.33333333337</v>
      </c>
      <c r="N9" s="14">
        <v>-833333.33333333337</v>
      </c>
    </row>
    <row r="10" spans="2:14" x14ac:dyDescent="0.25">
      <c r="B10" s="25" cm="1">
        <f t="array" aca="1" ref="B10" ca="1">OFFSET($B$2,0,MATCH(TRUE,$C10:$N10&lt;&gt;0,0))</f>
        <v>45108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-805000</v>
      </c>
      <c r="J10" s="14">
        <v>-805000</v>
      </c>
      <c r="K10" s="14">
        <v>-805000</v>
      </c>
      <c r="L10" s="14">
        <v>-805000</v>
      </c>
      <c r="M10" s="14">
        <v>-805000</v>
      </c>
      <c r="N10" s="14">
        <v>-805000</v>
      </c>
    </row>
    <row r="11" spans="2:14" x14ac:dyDescent="0.25">
      <c r="B11" s="25" cm="1">
        <f t="array" aca="1" ref="B11" ca="1">OFFSET($B$2,0,MATCH(TRUE,$C11:$N11&lt;&gt;0,0))</f>
        <v>45047</v>
      </c>
      <c r="C11" s="14">
        <v>0</v>
      </c>
      <c r="D11" s="14">
        <v>0</v>
      </c>
      <c r="E11" s="14">
        <v>0</v>
      </c>
      <c r="F11" s="14">
        <v>0</v>
      </c>
      <c r="G11" s="14">
        <v>-703333.33333333337</v>
      </c>
      <c r="H11" s="14">
        <v>-703333.33333333337</v>
      </c>
      <c r="I11" s="14">
        <v>-703333.33333333337</v>
      </c>
      <c r="J11" s="14">
        <v>-703333.33333333337</v>
      </c>
      <c r="K11" s="14">
        <v>-703333.33333333337</v>
      </c>
      <c r="L11" s="14">
        <v>-703333.33333333337</v>
      </c>
      <c r="M11" s="14">
        <v>-703333.33333333337</v>
      </c>
      <c r="N11" s="14">
        <v>-703333.33333333337</v>
      </c>
    </row>
    <row r="12" spans="2:14" x14ac:dyDescent="0.25">
      <c r="B12" s="25" cm="1">
        <f t="array" aca="1" ref="B12" ca="1">OFFSET($B$2,0,MATCH(TRUE,$C12:$N12&lt;&gt;0,0))</f>
        <v>45017</v>
      </c>
      <c r="C12" s="14">
        <v>0</v>
      </c>
      <c r="D12" s="14">
        <v>0</v>
      </c>
      <c r="E12" s="14">
        <v>0</v>
      </c>
      <c r="F12" s="14">
        <v>-666666.66666666663</v>
      </c>
      <c r="G12" s="14">
        <v>-666666.66666666663</v>
      </c>
      <c r="H12" s="14">
        <v>-666666.66666666663</v>
      </c>
      <c r="I12" s="14">
        <v>-666666.66666666663</v>
      </c>
      <c r="J12" s="14">
        <v>-666666.66666666663</v>
      </c>
      <c r="K12" s="14">
        <v>-666666.66666666663</v>
      </c>
      <c r="L12" s="14">
        <v>-666666.66666666663</v>
      </c>
      <c r="M12" s="14">
        <v>-666666.66666666663</v>
      </c>
      <c r="N12" s="14">
        <v>-666666.66666666663</v>
      </c>
    </row>
    <row r="13" spans="2:14" x14ac:dyDescent="0.25">
      <c r="B13" s="25" cm="1">
        <f t="array" aca="1" ref="B13" ca="1">OFFSET($B$2,0,MATCH(TRUE,$C13:$N13&lt;&gt;0,0))</f>
        <v>45139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-558333.33333333337</v>
      </c>
      <c r="K13" s="14">
        <v>-558333.33333333337</v>
      </c>
      <c r="L13" s="14">
        <v>-558333.33333333337</v>
      </c>
      <c r="M13" s="14">
        <v>-558333.33333333337</v>
      </c>
      <c r="N13" s="14">
        <v>-558333.33333333337</v>
      </c>
    </row>
    <row r="14" spans="2:14" x14ac:dyDescent="0.25">
      <c r="B14" s="25" cm="1">
        <f t="array" aca="1" ref="B14" ca="1">OFFSET($B$2,0,MATCH(TRUE,$C14:$N14&lt;&gt;0,0))</f>
        <v>45047</v>
      </c>
      <c r="C14" s="14">
        <v>0</v>
      </c>
      <c r="D14" s="14">
        <v>0</v>
      </c>
      <c r="E14" s="14">
        <v>0</v>
      </c>
      <c r="F14" s="14">
        <v>0</v>
      </c>
      <c r="G14" s="14">
        <v>-536666.66666666663</v>
      </c>
      <c r="H14" s="14">
        <v>-536666.66666666663</v>
      </c>
      <c r="I14" s="14">
        <v>-536666.66666666663</v>
      </c>
      <c r="J14" s="14">
        <v>-536666.66666666663</v>
      </c>
      <c r="K14" s="14">
        <v>-536666.66666666663</v>
      </c>
      <c r="L14" s="14">
        <v>-536666.66666666663</v>
      </c>
      <c r="M14" s="14">
        <v>-536666.66666666663</v>
      </c>
      <c r="N14" s="14">
        <v>-536666.66666666663</v>
      </c>
    </row>
    <row r="15" spans="2:14" x14ac:dyDescent="0.25">
      <c r="B15" s="25" cm="1">
        <f t="array" aca="1" ref="B15" ca="1">OFFSET($B$2,0,MATCH(TRUE,$C15:$N15&lt;&gt;0,0))</f>
        <v>45047</v>
      </c>
      <c r="C15" s="14">
        <v>0</v>
      </c>
      <c r="D15" s="14">
        <v>0</v>
      </c>
      <c r="E15" s="14">
        <v>0</v>
      </c>
      <c r="F15" s="14">
        <v>0</v>
      </c>
      <c r="G15" s="14">
        <v>-366666.66666666669</v>
      </c>
      <c r="H15" s="14">
        <v>-366666.66666666669</v>
      </c>
      <c r="I15" s="14">
        <v>-366666.66666666669</v>
      </c>
      <c r="J15" s="14">
        <v>-366666.66666666669</v>
      </c>
      <c r="K15" s="14">
        <v>-366666.66666666669</v>
      </c>
      <c r="L15" s="14">
        <v>-366666.66666666669</v>
      </c>
      <c r="M15" s="14">
        <v>-366666.66666666669</v>
      </c>
      <c r="N15" s="14">
        <v>-366666.66666666669</v>
      </c>
    </row>
    <row r="16" spans="2:14" x14ac:dyDescent="0.25">
      <c r="B16" s="25" cm="1">
        <f t="array" aca="1" ref="B16" ca="1">OFFSET($B$2,0,MATCH(TRUE,$C16:$N16&lt;&gt;0,0))</f>
        <v>45047</v>
      </c>
      <c r="C16" s="14">
        <v>0</v>
      </c>
      <c r="D16" s="14">
        <v>0</v>
      </c>
      <c r="E16" s="14">
        <v>0</v>
      </c>
      <c r="F16" s="14">
        <v>0</v>
      </c>
      <c r="G16" s="14">
        <v>-351666.66666666669</v>
      </c>
      <c r="H16" s="14">
        <v>-351666.66666666669</v>
      </c>
      <c r="I16" s="14">
        <v>-351666.66666666669</v>
      </c>
      <c r="J16" s="14">
        <v>-351666.66666666669</v>
      </c>
      <c r="K16" s="14">
        <v>-351666.66666666669</v>
      </c>
      <c r="L16" s="14">
        <v>-351666.66666666669</v>
      </c>
      <c r="M16" s="14">
        <v>-351666.66666666669</v>
      </c>
      <c r="N16" s="14">
        <v>-351666.66666666669</v>
      </c>
    </row>
    <row r="17" spans="2:14" x14ac:dyDescent="0.25">
      <c r="B17" s="25" cm="1">
        <f t="array" aca="1" ref="B17" ca="1">OFFSET($B$2,0,MATCH(TRUE,$C17:$N17&lt;&gt;0,0))</f>
        <v>45017</v>
      </c>
      <c r="C17" s="14">
        <v>0</v>
      </c>
      <c r="D17" s="14">
        <v>0</v>
      </c>
      <c r="E17" s="14">
        <v>0</v>
      </c>
      <c r="F17" s="14">
        <v>-283333.33333333331</v>
      </c>
      <c r="G17" s="14">
        <v>-283333.33333333331</v>
      </c>
      <c r="H17" s="14">
        <v>-283333.33333333331</v>
      </c>
      <c r="I17" s="14">
        <v>-283333.33333333331</v>
      </c>
      <c r="J17" s="14">
        <v>-283333.33333333331</v>
      </c>
      <c r="K17" s="14">
        <v>-283333.33333333331</v>
      </c>
      <c r="L17" s="14">
        <v>-283333.33333333331</v>
      </c>
      <c r="M17" s="14">
        <v>-283333.33333333331</v>
      </c>
      <c r="N17" s="14">
        <v>-283333.33333333331</v>
      </c>
    </row>
    <row r="18" spans="2:14" x14ac:dyDescent="0.25">
      <c r="B18" s="25" cm="1">
        <f t="array" aca="1" ref="B18" ca="1">OFFSET($B$2,0,MATCH(TRUE,$C18:$N18&lt;&gt;0,0))</f>
        <v>45017</v>
      </c>
      <c r="C18" s="14">
        <v>0</v>
      </c>
      <c r="D18" s="14">
        <v>0</v>
      </c>
      <c r="E18" s="14">
        <v>0</v>
      </c>
      <c r="F18" s="14">
        <v>-275000</v>
      </c>
      <c r="G18" s="14">
        <v>-275000</v>
      </c>
      <c r="H18" s="14">
        <v>-275000</v>
      </c>
      <c r="I18" s="14">
        <v>-275000</v>
      </c>
      <c r="J18" s="14">
        <v>-275000</v>
      </c>
      <c r="K18" s="14">
        <v>-275000</v>
      </c>
      <c r="L18" s="14">
        <v>-275000</v>
      </c>
      <c r="M18" s="14">
        <v>-275000</v>
      </c>
      <c r="N18" s="14">
        <v>-275000</v>
      </c>
    </row>
    <row r="19" spans="2:14" x14ac:dyDescent="0.25">
      <c r="B19" s="25" cm="1">
        <f t="array" aca="1" ref="B19" ca="1">OFFSET($B$2,0,MATCH(TRUE,$C19:$N19&lt;&gt;0,0))</f>
        <v>45108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-268333.33333333331</v>
      </c>
      <c r="J19" s="14">
        <v>-268333.33333333331</v>
      </c>
      <c r="K19" s="14">
        <v>-268333.33333333331</v>
      </c>
      <c r="L19" s="14">
        <v>-268333.33333333331</v>
      </c>
      <c r="M19" s="14">
        <v>-268333.33333333331</v>
      </c>
      <c r="N19" s="14">
        <v>-268333.33333333331</v>
      </c>
    </row>
    <row r="20" spans="2:14" x14ac:dyDescent="0.25">
      <c r="B20" s="25" cm="1">
        <f t="array" aca="1" ref="B20" ca="1">OFFSET($B$2,0,MATCH(TRUE,$C20:$N20&lt;&gt;0,0))</f>
        <v>45108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-268333.33333333331</v>
      </c>
      <c r="J20" s="14">
        <v>-268333.33333333331</v>
      </c>
      <c r="K20" s="14">
        <v>-268333.33333333331</v>
      </c>
      <c r="L20" s="14">
        <v>-268333.33333333331</v>
      </c>
      <c r="M20" s="14">
        <v>-268333.33333333331</v>
      </c>
      <c r="N20" s="14">
        <v>-268333.33333333331</v>
      </c>
    </row>
    <row r="21" spans="2:14" x14ac:dyDescent="0.25">
      <c r="B21" s="25" cm="1">
        <f t="array" aca="1" ref="B21" ca="1">OFFSET($B$2,0,MATCH(TRUE,$C21:$N21&lt;&gt;0,0))</f>
        <v>45017</v>
      </c>
      <c r="C21" s="14">
        <v>0</v>
      </c>
      <c r="D21" s="14">
        <v>0</v>
      </c>
      <c r="E21" s="14">
        <v>0</v>
      </c>
      <c r="F21" s="14">
        <v>-256666.66666666666</v>
      </c>
      <c r="G21" s="14">
        <v>-256666.66666666666</v>
      </c>
      <c r="H21" s="14">
        <v>-256666.66666666666</v>
      </c>
      <c r="I21" s="14">
        <v>-256666.66666666666</v>
      </c>
      <c r="J21" s="14">
        <v>-256666.66666666666</v>
      </c>
      <c r="K21" s="14">
        <v>-256666.66666666666</v>
      </c>
      <c r="L21" s="14">
        <v>-256666.66666666666</v>
      </c>
      <c r="M21" s="14">
        <v>-256666.66666666666</v>
      </c>
      <c r="N21" s="14">
        <v>-256666.66666666666</v>
      </c>
    </row>
    <row r="22" spans="2:14" x14ac:dyDescent="0.25">
      <c r="B22" s="25" cm="1">
        <f t="array" aca="1" ref="B22" ca="1">OFFSET($B$2,0,MATCH(TRUE,$C22:$N22&lt;&gt;0,0))</f>
        <v>45017</v>
      </c>
      <c r="C22" s="14">
        <v>0</v>
      </c>
      <c r="D22" s="14">
        <v>0</v>
      </c>
      <c r="E22" s="14">
        <v>0</v>
      </c>
      <c r="F22" s="14">
        <v>-158333.33333333334</v>
      </c>
      <c r="G22" s="14">
        <v>-158333.33333333334</v>
      </c>
      <c r="H22" s="14">
        <v>-158333.33333333334</v>
      </c>
      <c r="I22" s="14">
        <v>-158333.33333333334</v>
      </c>
      <c r="J22" s="14">
        <v>-158333.33333333334</v>
      </c>
      <c r="K22" s="14">
        <v>-158333.33333333334</v>
      </c>
      <c r="L22" s="14">
        <v>-158333.33333333334</v>
      </c>
      <c r="M22" s="14">
        <v>-158333.33333333334</v>
      </c>
      <c r="N22" s="14">
        <v>-158333.33333333334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7A0BB-EAA7-479C-AF50-F8DE02D41CF6}">
  <sheetPr codeName="Sheet21">
    <tabColor theme="1"/>
  </sheetPr>
  <dimension ref="A1"/>
  <sheetViews>
    <sheetView topLeftCell="XFD1" workbookViewId="0"/>
  </sheetViews>
  <sheetFormatPr defaultColWidth="0" defaultRowHeight="15" x14ac:dyDescent="0.25"/>
  <cols>
    <col min="1" max="16384" width="8.7109375" hidden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29DD8-0E3D-4561-B6A6-F48439E59357}">
  <sheetPr codeName="Sheet15">
    <tabColor rgb="FFFF0000"/>
  </sheetPr>
  <dimension ref="A1:E7"/>
  <sheetViews>
    <sheetView workbookViewId="0">
      <selection activeCell="D7" sqref="D7"/>
    </sheetView>
  </sheetViews>
  <sheetFormatPr defaultColWidth="8.7109375" defaultRowHeight="15" x14ac:dyDescent="0.25"/>
  <cols>
    <col min="1" max="16384" width="8.7109375" style="16"/>
  </cols>
  <sheetData>
    <row r="1" spans="1:5" x14ac:dyDescent="0.25">
      <c r="A1" s="28" t="s">
        <v>237</v>
      </c>
      <c r="B1" s="29"/>
    </row>
    <row r="2" spans="1:5" x14ac:dyDescent="0.25">
      <c r="A2" s="30">
        <v>20</v>
      </c>
      <c r="B2" s="31"/>
    </row>
    <row r="3" spans="1:5" x14ac:dyDescent="0.25">
      <c r="A3" s="30">
        <v>30</v>
      </c>
      <c r="B3" s="31"/>
      <c r="D3" s="66" cm="1">
        <f t="array" aca="1" ref="D3" ca="1">INDIRECT("A3")</f>
        <v>30</v>
      </c>
      <c r="E3" s="16" t="str">
        <f ca="1">_xlfn.FORMULATEXT(D3)</f>
        <v>=INDIRECT("A3")</v>
      </c>
    </row>
    <row r="4" spans="1:5" x14ac:dyDescent="0.25">
      <c r="A4" s="30">
        <v>40</v>
      </c>
      <c r="B4" s="31"/>
    </row>
    <row r="5" spans="1:5" x14ac:dyDescent="0.25">
      <c r="A5" s="30">
        <v>50</v>
      </c>
      <c r="B5" s="31"/>
      <c r="D5" s="66" cm="1">
        <f t="array" aca="1" ref="D5" ca="1">INDIRECT("A5",TRUE)</f>
        <v>50</v>
      </c>
      <c r="E5" s="16" t="str">
        <f ca="1">_xlfn.FORMULATEXT(D5)</f>
        <v>=INDIRECT("A5",TRUE)</v>
      </c>
    </row>
    <row r="6" spans="1:5" x14ac:dyDescent="0.25">
      <c r="A6" s="30">
        <v>60</v>
      </c>
      <c r="B6" s="31"/>
    </row>
    <row r="7" spans="1:5" x14ac:dyDescent="0.25">
      <c r="A7" s="32">
        <v>70</v>
      </c>
      <c r="B7" s="31"/>
      <c r="C7" s="33" t="s">
        <v>238</v>
      </c>
      <c r="D7" s="66" cm="1">
        <f t="array" aca="1" ref="D7" ca="1">INDIRECT(C7)</f>
        <v>40</v>
      </c>
      <c r="E7" s="16" t="str">
        <f ca="1">_xlfn.FORMULATEXT(D7)</f>
        <v>=INDIRECT(C7)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1675-6C46-4D1B-AB3D-E7A0B8867558}">
  <sheetPr codeName="Sheet16">
    <tabColor rgb="FFFF0000"/>
  </sheetPr>
  <dimension ref="A1:E7"/>
  <sheetViews>
    <sheetView workbookViewId="0">
      <selection activeCell="D3" sqref="D3:D6"/>
    </sheetView>
  </sheetViews>
  <sheetFormatPr defaultColWidth="8.7109375" defaultRowHeight="15" x14ac:dyDescent="0.25"/>
  <cols>
    <col min="1" max="1" width="10.85546875" style="16" customWidth="1"/>
    <col min="2" max="16384" width="8.7109375" style="16"/>
  </cols>
  <sheetData>
    <row r="1" spans="1:5" x14ac:dyDescent="0.25">
      <c r="A1" s="34" t="s">
        <v>237</v>
      </c>
      <c r="B1" s="29"/>
    </row>
    <row r="2" spans="1:5" x14ac:dyDescent="0.25">
      <c r="A2" s="35" t="s">
        <v>212</v>
      </c>
      <c r="B2" s="31"/>
    </row>
    <row r="3" spans="1:5" x14ac:dyDescent="0.25">
      <c r="A3" s="35" t="s">
        <v>174</v>
      </c>
      <c r="B3" s="31"/>
      <c r="C3" s="36" t="s">
        <v>200</v>
      </c>
      <c r="D3" s="66" t="str" cm="1">
        <f t="array" aca="1" ref="D3" ca="1">INDIRECT("A4")</f>
        <v>Kediri</v>
      </c>
      <c r="E3" s="16" t="str">
        <f ca="1">_xlfn.FORMULATEXT(D3)</f>
        <v>=INDIRECT("A4")</v>
      </c>
    </row>
    <row r="4" spans="1:5" x14ac:dyDescent="0.25">
      <c r="A4" s="35" t="s">
        <v>68</v>
      </c>
      <c r="B4" s="31"/>
      <c r="D4" s="66" t="str" cm="1">
        <f t="array" aca="1" ref="D4" ca="1">INDIRECT("A"&amp;4)</f>
        <v>Kediri</v>
      </c>
      <c r="E4" s="16" t="str">
        <f t="shared" ref="E4:E6" ca="1" si="0">_xlfn.FORMULATEXT(D4)</f>
        <v>=INDIRECT("A"&amp;4)</v>
      </c>
    </row>
    <row r="5" spans="1:5" x14ac:dyDescent="0.25">
      <c r="A5" s="35" t="s">
        <v>8</v>
      </c>
      <c r="B5" s="31"/>
      <c r="C5" s="36">
        <v>4</v>
      </c>
      <c r="D5" s="66" t="str" cm="1">
        <f t="array" aca="1" ref="D5" ca="1">INDIRECT(C3&amp;4)</f>
        <v>Kediri</v>
      </c>
      <c r="E5" s="16" t="str">
        <f t="shared" ca="1" si="0"/>
        <v>=INDIRECT(C3&amp;4)</v>
      </c>
    </row>
    <row r="6" spans="1:5" x14ac:dyDescent="0.25">
      <c r="A6" s="35" t="s">
        <v>239</v>
      </c>
      <c r="B6" s="31"/>
      <c r="D6" s="66" t="str" cm="1">
        <f t="array" aca="1" ref="D6" ca="1">INDIRECT(C3&amp;C5)</f>
        <v>Kediri</v>
      </c>
      <c r="E6" s="16" t="str">
        <f t="shared" ca="1" si="0"/>
        <v>=INDIRECT(C3&amp;C5)</v>
      </c>
    </row>
    <row r="7" spans="1:5" x14ac:dyDescent="0.25">
      <c r="A7" s="37" t="s">
        <v>160</v>
      </c>
      <c r="B7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87D6-4EBE-4896-A0E5-95F007A39270}">
  <sheetPr codeName="Sheet17">
    <tabColor rgb="FFFF0000"/>
  </sheetPr>
  <dimension ref="A2:B6"/>
  <sheetViews>
    <sheetView workbookViewId="0">
      <selection activeCell="A6" sqref="A6"/>
    </sheetView>
  </sheetViews>
  <sheetFormatPr defaultColWidth="8.7109375" defaultRowHeight="15" x14ac:dyDescent="0.25"/>
  <cols>
    <col min="1" max="1" width="12" style="16" customWidth="1"/>
    <col min="2" max="16384" width="8.7109375" style="16"/>
  </cols>
  <sheetData>
    <row r="2" spans="1:2" x14ac:dyDescent="0.25">
      <c r="A2" s="16" t="s">
        <v>240</v>
      </c>
      <c r="B2" s="17" t="s">
        <v>279</v>
      </c>
    </row>
    <row r="3" spans="1:2" x14ac:dyDescent="0.25">
      <c r="A3" s="16" t="s">
        <v>241</v>
      </c>
      <c r="B3" s="17" t="s">
        <v>242</v>
      </c>
    </row>
    <row r="5" spans="1:2" x14ac:dyDescent="0.25">
      <c r="A5" s="66">
        <f ca="1">SUM(INDIRECT(B2&amp;"!"&amp;B3))</f>
        <v>150</v>
      </c>
      <c r="B5" s="16" t="str">
        <f ca="1">_xlfn.FORMULATEXT(A5)</f>
        <v>=SUM(INDIRECT(B2&amp;"!"&amp;B3))</v>
      </c>
    </row>
    <row r="6" spans="1:2" x14ac:dyDescent="0.25">
      <c r="A6" s="16">
        <f>SUM(January!A2:A6)</f>
        <v>150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A9809-BB0B-4425-BA49-29DE06B512F8}">
  <sheetPr codeName="Sheet18">
    <tabColor rgb="FFFF0000"/>
  </sheetPr>
  <dimension ref="A1:A6"/>
  <sheetViews>
    <sheetView zoomScaleNormal="100" workbookViewId="0"/>
  </sheetViews>
  <sheetFormatPr defaultColWidth="8.7109375" defaultRowHeight="15" x14ac:dyDescent="0.25"/>
  <cols>
    <col min="1" max="16384" width="8.7109375" style="16"/>
  </cols>
  <sheetData>
    <row r="1" spans="1:1" x14ac:dyDescent="0.25">
      <c r="A1" s="38" t="s">
        <v>237</v>
      </c>
    </row>
    <row r="2" spans="1:1" x14ac:dyDescent="0.25">
      <c r="A2" s="39">
        <v>10</v>
      </c>
    </row>
    <row r="3" spans="1:1" x14ac:dyDescent="0.25">
      <c r="A3" s="39">
        <v>20</v>
      </c>
    </row>
    <row r="4" spans="1:1" x14ac:dyDescent="0.25">
      <c r="A4" s="39">
        <v>30</v>
      </c>
    </row>
    <row r="5" spans="1:1" x14ac:dyDescent="0.25">
      <c r="A5" s="39">
        <v>40</v>
      </c>
    </row>
    <row r="6" spans="1:1" x14ac:dyDescent="0.25">
      <c r="A6" s="40">
        <v>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7C285-36A3-4FB5-9608-C44703941B21}">
  <sheetPr codeName="Sheet11">
    <tabColor rgb="FFFFFF00"/>
  </sheetPr>
  <dimension ref="A1:B6"/>
  <sheetViews>
    <sheetView showGridLines="0" workbookViewId="0">
      <selection activeCell="B1" sqref="B1"/>
    </sheetView>
  </sheetViews>
  <sheetFormatPr defaultColWidth="8.7109375" defaultRowHeight="15" x14ac:dyDescent="0.25"/>
  <cols>
    <col min="1" max="1" width="12" style="16" bestFit="1" customWidth="1"/>
    <col min="2" max="2" width="6.5703125" style="16" customWidth="1"/>
    <col min="3" max="16384" width="8.7109375" style="16"/>
  </cols>
  <sheetData>
    <row r="1" spans="1:2" x14ac:dyDescent="0.25">
      <c r="B1" s="17" t="s">
        <v>216</v>
      </c>
    </row>
    <row r="3" spans="1:2" x14ac:dyDescent="0.25">
      <c r="A3" s="18" t="s">
        <v>217</v>
      </c>
      <c r="B3" s="19" t="s">
        <v>218</v>
      </c>
    </row>
    <row r="4" spans="1:2" x14ac:dyDescent="0.25">
      <c r="A4" s="20" t="s">
        <v>219</v>
      </c>
      <c r="B4" s="21">
        <f ca="1">VLOOKUP(A4,INDIRECT(B$1&amp;"!$A$1:$B$4"),2,0)</f>
        <v>20</v>
      </c>
    </row>
    <row r="5" spans="1:2" x14ac:dyDescent="0.25">
      <c r="A5" s="20" t="s">
        <v>220</v>
      </c>
      <c r="B5" s="21">
        <f t="shared" ref="B5:B6" ca="1" si="0">VLOOKUP(A5,INDIRECT(B$1&amp;"!$A$1:$B$4"),2,0)</f>
        <v>10</v>
      </c>
    </row>
    <row r="6" spans="1:2" x14ac:dyDescent="0.25">
      <c r="A6" s="22" t="s">
        <v>221</v>
      </c>
      <c r="B6" s="23">
        <f t="shared" ca="1" si="0"/>
        <v>23</v>
      </c>
    </row>
  </sheetData>
  <dataValidations count="1">
    <dataValidation type="list" allowBlank="1" showInputMessage="1" showErrorMessage="1" sqref="B1" xr:uid="{A6E6E186-7786-41EF-9F94-0AB60C347878}">
      <formula1>"Jan,Feb,Mar"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EFAC-51FD-44EC-AAF4-3DC73B80BE70}">
  <sheetPr codeName="Sheet12">
    <tabColor rgb="FFFFFF00"/>
  </sheetPr>
  <dimension ref="A1:B4"/>
  <sheetViews>
    <sheetView workbookViewId="0">
      <selection activeCell="B4" sqref="B4"/>
    </sheetView>
  </sheetViews>
  <sheetFormatPr defaultColWidth="8.7109375" defaultRowHeight="15" x14ac:dyDescent="0.25"/>
  <cols>
    <col min="1" max="1" width="12" style="16" bestFit="1" customWidth="1"/>
    <col min="2" max="2" width="5" style="16" bestFit="1" customWidth="1"/>
    <col min="3" max="16384" width="8.7109375" style="16"/>
  </cols>
  <sheetData>
    <row r="1" spans="1:2" x14ac:dyDescent="0.25">
      <c r="A1" s="16" t="s">
        <v>217</v>
      </c>
      <c r="B1" s="16" t="s">
        <v>199</v>
      </c>
    </row>
    <row r="2" spans="1:2" x14ac:dyDescent="0.25">
      <c r="A2" s="16" t="s">
        <v>219</v>
      </c>
      <c r="B2" s="16">
        <v>10</v>
      </c>
    </row>
    <row r="3" spans="1:2" x14ac:dyDescent="0.25">
      <c r="A3" s="16" t="s">
        <v>220</v>
      </c>
      <c r="B3" s="16">
        <v>20</v>
      </c>
    </row>
    <row r="4" spans="1:2" x14ac:dyDescent="0.25">
      <c r="A4" s="16" t="s">
        <v>221</v>
      </c>
      <c r="B4" s="16">
        <v>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BA4FE-9E09-4E5D-A11B-1D97927DFBEA}">
  <sheetPr codeName="Sheet13">
    <tabColor rgb="FFFFFF00"/>
  </sheetPr>
  <dimension ref="A1:B4"/>
  <sheetViews>
    <sheetView workbookViewId="0">
      <selection activeCell="B4" sqref="B4"/>
    </sheetView>
  </sheetViews>
  <sheetFormatPr defaultColWidth="8.7109375" defaultRowHeight="15" x14ac:dyDescent="0.25"/>
  <cols>
    <col min="1" max="16384" width="8.7109375" style="16"/>
  </cols>
  <sheetData>
    <row r="1" spans="1:2" x14ac:dyDescent="0.25">
      <c r="A1" s="16" t="s">
        <v>217</v>
      </c>
      <c r="B1" s="16" t="s">
        <v>199</v>
      </c>
    </row>
    <row r="2" spans="1:2" x14ac:dyDescent="0.25">
      <c r="A2" s="16" t="s">
        <v>219</v>
      </c>
      <c r="B2" s="16">
        <v>50</v>
      </c>
    </row>
    <row r="3" spans="1:2" x14ac:dyDescent="0.25">
      <c r="A3" s="16" t="s">
        <v>220</v>
      </c>
      <c r="B3" s="16">
        <v>78</v>
      </c>
    </row>
    <row r="4" spans="1:2" x14ac:dyDescent="0.25">
      <c r="A4" s="16" t="s">
        <v>221</v>
      </c>
      <c r="B4" s="16">
        <v>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C065-48AF-4B5D-B691-CD0634A64B87}">
  <sheetPr codeName="Sheet14">
    <tabColor rgb="FFFFFF00"/>
  </sheetPr>
  <dimension ref="A1:B4"/>
  <sheetViews>
    <sheetView workbookViewId="0"/>
  </sheetViews>
  <sheetFormatPr defaultColWidth="8.7109375" defaultRowHeight="15" x14ac:dyDescent="0.25"/>
  <cols>
    <col min="1" max="16384" width="8.7109375" style="16"/>
  </cols>
  <sheetData>
    <row r="1" spans="1:2" x14ac:dyDescent="0.25">
      <c r="A1" s="16" t="s">
        <v>217</v>
      </c>
      <c r="B1" s="16" t="s">
        <v>199</v>
      </c>
    </row>
    <row r="2" spans="1:2" x14ac:dyDescent="0.25">
      <c r="A2" s="16" t="s">
        <v>219</v>
      </c>
      <c r="B2" s="16">
        <v>20</v>
      </c>
    </row>
    <row r="3" spans="1:2" x14ac:dyDescent="0.25">
      <c r="A3" s="16" t="s">
        <v>220</v>
      </c>
      <c r="B3" s="16">
        <v>10</v>
      </c>
    </row>
    <row r="4" spans="1:2" x14ac:dyDescent="0.25">
      <c r="A4" s="16" t="s">
        <v>221</v>
      </c>
      <c r="B4" s="16">
        <v>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C0BD5-0E2C-4A75-BAF8-A9E0DF4BDD1B}">
  <sheetPr codeName="Sheet4">
    <tabColor theme="9" tint="0.79998168889431442"/>
  </sheetPr>
  <dimension ref="A1:G5"/>
  <sheetViews>
    <sheetView workbookViewId="0">
      <selection activeCell="B2" sqref="B2:G4"/>
    </sheetView>
  </sheetViews>
  <sheetFormatPr defaultRowHeight="15" x14ac:dyDescent="0.25"/>
  <cols>
    <col min="1" max="1" width="10.5703125" bestFit="1" customWidth="1"/>
    <col min="2" max="7" width="13.85546875" bestFit="1" customWidth="1"/>
  </cols>
  <sheetData>
    <row r="1" spans="1:7" x14ac:dyDescent="0.25">
      <c r="A1" s="12" t="s">
        <v>223</v>
      </c>
      <c r="B1" s="12">
        <v>2016</v>
      </c>
      <c r="C1" s="12">
        <v>2017</v>
      </c>
      <c r="D1" s="12">
        <v>2018</v>
      </c>
      <c r="E1" s="12">
        <v>2019</v>
      </c>
      <c r="F1" s="12">
        <v>2020</v>
      </c>
      <c r="G1" s="12">
        <v>2021</v>
      </c>
    </row>
    <row r="2" spans="1:7" x14ac:dyDescent="0.25">
      <c r="A2" t="s">
        <v>12</v>
      </c>
      <c r="B2" s="67">
        <f ca="1">VLOOKUP($A$2,INDIRECT("'"&amp;$B$1&amp;"'!A1:B4"),2,0)</f>
        <v>29350200</v>
      </c>
      <c r="C2" s="67">
        <f t="shared" ref="C2:G4" ca="1" si="0">VLOOKUP($A$2,INDIRECT("'"&amp;$B$1&amp;"'!A1:B4"),2,0)</f>
        <v>29350200</v>
      </c>
      <c r="D2" s="67">
        <f t="shared" ca="1" si="0"/>
        <v>29350200</v>
      </c>
      <c r="E2" s="67">
        <f t="shared" ca="1" si="0"/>
        <v>29350200</v>
      </c>
      <c r="F2" s="67">
        <f t="shared" ca="1" si="0"/>
        <v>29350200</v>
      </c>
      <c r="G2" s="67">
        <f t="shared" ca="1" si="0"/>
        <v>29350200</v>
      </c>
    </row>
    <row r="3" spans="1:7" x14ac:dyDescent="0.25">
      <c r="A3" t="s">
        <v>212</v>
      </c>
      <c r="B3" s="67">
        <f t="shared" ref="B3:B4" ca="1" si="1">VLOOKUP($A$2,INDIRECT("'"&amp;$B$1&amp;"'!A1:B4"),2,0)</f>
        <v>29350200</v>
      </c>
      <c r="C3" s="67">
        <f t="shared" ca="1" si="0"/>
        <v>29350200</v>
      </c>
      <c r="D3" s="67">
        <f t="shared" ca="1" si="0"/>
        <v>29350200</v>
      </c>
      <c r="E3" s="67">
        <f t="shared" ca="1" si="0"/>
        <v>29350200</v>
      </c>
      <c r="F3" s="67">
        <f t="shared" ca="1" si="0"/>
        <v>29350200</v>
      </c>
      <c r="G3" s="67">
        <f t="shared" ca="1" si="0"/>
        <v>29350200</v>
      </c>
    </row>
    <row r="4" spans="1:7" x14ac:dyDescent="0.25">
      <c r="A4" t="s">
        <v>174</v>
      </c>
      <c r="B4" s="67">
        <f t="shared" ca="1" si="1"/>
        <v>29350200</v>
      </c>
      <c r="C4" s="67">
        <f t="shared" ca="1" si="0"/>
        <v>29350200</v>
      </c>
      <c r="D4" s="67">
        <f t="shared" ca="1" si="0"/>
        <v>29350200</v>
      </c>
      <c r="E4" s="67">
        <f t="shared" ca="1" si="0"/>
        <v>29350200</v>
      </c>
      <c r="F4" s="67">
        <f t="shared" ca="1" si="0"/>
        <v>29350200</v>
      </c>
      <c r="G4" s="67">
        <f t="shared" ca="1" si="0"/>
        <v>29350200</v>
      </c>
    </row>
    <row r="5" spans="1:7" x14ac:dyDescent="0.25">
      <c r="A5" s="26" t="s">
        <v>213</v>
      </c>
      <c r="B5" s="41">
        <f ca="1">SUM(B2:B4)</f>
        <v>88050600</v>
      </c>
      <c r="C5" s="41">
        <f t="shared" ref="C5:F5" ca="1" si="2">SUM(C2:C4)</f>
        <v>88050600</v>
      </c>
      <c r="D5" s="41">
        <f t="shared" ca="1" si="2"/>
        <v>88050600</v>
      </c>
      <c r="E5" s="41">
        <f t="shared" ca="1" si="2"/>
        <v>88050600</v>
      </c>
      <c r="F5" s="41">
        <f t="shared" ca="1" si="2"/>
        <v>88050600</v>
      </c>
      <c r="G5" s="41">
        <f ca="1">SUM(G2:G4)</f>
        <v>88050600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6280-4647-465C-8027-01ACFF8FE037}">
  <sheetPr codeName="Sheet5">
    <tabColor theme="9" tint="0.79998168889431442"/>
  </sheetPr>
  <dimension ref="A1:B4"/>
  <sheetViews>
    <sheetView workbookViewId="0">
      <selection activeCell="A2" sqref="A2:B4"/>
    </sheetView>
  </sheetViews>
  <sheetFormatPr defaultRowHeight="15" x14ac:dyDescent="0.25"/>
  <cols>
    <col min="1" max="1" width="8.5703125" bestFit="1" customWidth="1"/>
    <col min="2" max="2" width="13.425781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t="s">
        <v>12</v>
      </c>
      <c r="B2" s="3">
        <v>29350200</v>
      </c>
    </row>
    <row r="3" spans="1:2" x14ac:dyDescent="0.25">
      <c r="A3" t="s">
        <v>212</v>
      </c>
      <c r="B3" s="3">
        <v>546926100</v>
      </c>
    </row>
    <row r="4" spans="1:2" x14ac:dyDescent="0.25">
      <c r="A4" t="s">
        <v>174</v>
      </c>
      <c r="B4" s="3">
        <v>1443328153.5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85EE-329A-4382-86C0-E0564A0E3AFC}">
  <sheetPr codeName="Sheet6">
    <tabColor theme="9" tint="0.79998168889431442"/>
  </sheetPr>
  <dimension ref="A1:B4"/>
  <sheetViews>
    <sheetView workbookViewId="0">
      <selection activeCell="A2" sqref="A2"/>
    </sheetView>
  </sheetViews>
  <sheetFormatPr defaultRowHeight="15" x14ac:dyDescent="0.25"/>
  <cols>
    <col min="2" max="2" width="13.425781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t="s">
        <v>12</v>
      </c>
      <c r="B2" s="3">
        <v>209398500</v>
      </c>
    </row>
    <row r="3" spans="1:2" x14ac:dyDescent="0.25">
      <c r="A3" t="s">
        <v>212</v>
      </c>
      <c r="B3" s="3">
        <v>1134596509.5</v>
      </c>
    </row>
    <row r="4" spans="1:2" x14ac:dyDescent="0.25">
      <c r="A4" t="s">
        <v>174</v>
      </c>
      <c r="B4" s="3">
        <v>2903044422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5B5BF-71AC-4DD4-8302-3B230080B6B4}">
  <sheetPr codeName="Sheet7">
    <tabColor theme="9" tint="0.79998168889431442"/>
  </sheetPr>
  <dimension ref="A1:B4"/>
  <sheetViews>
    <sheetView workbookViewId="0">
      <selection activeCell="B2" sqref="B2"/>
    </sheetView>
  </sheetViews>
  <sheetFormatPr defaultRowHeight="15" x14ac:dyDescent="0.25"/>
  <cols>
    <col min="2" max="2" width="13.425781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t="s">
        <v>12</v>
      </c>
      <c r="B2" s="3">
        <v>662114550</v>
      </c>
    </row>
    <row r="3" spans="1:2" x14ac:dyDescent="0.25">
      <c r="A3" t="s">
        <v>212</v>
      </c>
      <c r="B3" s="3">
        <v>1511872588.5</v>
      </c>
    </row>
    <row r="4" spans="1:2" x14ac:dyDescent="0.25">
      <c r="A4" t="s">
        <v>174</v>
      </c>
      <c r="B4" s="3">
        <v>3608601274.5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04941-A4D8-4A86-9FD0-91C379402577}">
  <sheetPr codeName="Sheet8">
    <tabColor theme="9" tint="0.79998168889431442"/>
  </sheetPr>
  <dimension ref="A1:B4"/>
  <sheetViews>
    <sheetView workbookViewId="0">
      <selection activeCell="A2" sqref="A2"/>
    </sheetView>
  </sheetViews>
  <sheetFormatPr defaultRowHeight="15" x14ac:dyDescent="0.25"/>
  <cols>
    <col min="2" max="2" width="13.425781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t="s">
        <v>12</v>
      </c>
      <c r="B2" s="3">
        <v>380004900</v>
      </c>
    </row>
    <row r="3" spans="1:2" x14ac:dyDescent="0.25">
      <c r="A3" t="s">
        <v>212</v>
      </c>
      <c r="B3" s="3">
        <v>881354341.5</v>
      </c>
    </row>
    <row r="4" spans="1:2" x14ac:dyDescent="0.25">
      <c r="A4" t="s">
        <v>174</v>
      </c>
      <c r="B4" s="3">
        <v>3195805198.5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5BA1A-9D83-4803-8A57-B3B588078C62}">
  <sheetPr codeName="Sheet9">
    <tabColor theme="9" tint="0.79998168889431442"/>
  </sheetPr>
  <dimension ref="A1:B4"/>
  <sheetViews>
    <sheetView workbookViewId="0">
      <selection sqref="A1:B4"/>
    </sheetView>
  </sheetViews>
  <sheetFormatPr defaultRowHeight="15" x14ac:dyDescent="0.25"/>
  <cols>
    <col min="1" max="1" width="8.5703125" bestFit="1" customWidth="1"/>
    <col min="2" max="2" width="12.285156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s="13" t="s">
        <v>12</v>
      </c>
      <c r="B2" s="3">
        <v>70702050</v>
      </c>
    </row>
    <row r="3" spans="1:2" x14ac:dyDescent="0.25">
      <c r="A3" s="13" t="s">
        <v>212</v>
      </c>
      <c r="B3" s="3">
        <v>218418600</v>
      </c>
    </row>
    <row r="4" spans="1:2" x14ac:dyDescent="0.25">
      <c r="A4" s="13" t="s">
        <v>174</v>
      </c>
      <c r="B4" s="3">
        <v>680122350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8940-75B2-4ADB-9AE2-0E77EA0E0166}">
  <sheetPr codeName="Sheet25"/>
  <dimension ref="A1:B4"/>
  <sheetViews>
    <sheetView workbookViewId="0">
      <selection activeCell="D3" sqref="D3"/>
    </sheetView>
  </sheetViews>
  <sheetFormatPr defaultRowHeight="15" x14ac:dyDescent="0.25"/>
  <cols>
    <col min="2" max="2" width="12.28515625" bestFit="1" customWidth="1"/>
  </cols>
  <sheetData>
    <row r="1" spans="1:2" x14ac:dyDescent="0.25">
      <c r="A1" s="7" t="s">
        <v>0</v>
      </c>
      <c r="B1" s="7" t="s">
        <v>214</v>
      </c>
    </row>
    <row r="2" spans="1:2" x14ac:dyDescent="0.25">
      <c r="A2" s="13" t="s">
        <v>12</v>
      </c>
      <c r="B2" s="3">
        <v>70702050</v>
      </c>
    </row>
    <row r="3" spans="1:2" x14ac:dyDescent="0.25">
      <c r="A3" s="13" t="s">
        <v>212</v>
      </c>
      <c r="B3" s="3">
        <v>218418600</v>
      </c>
    </row>
    <row r="4" spans="1:2" x14ac:dyDescent="0.25">
      <c r="A4" s="13" t="s">
        <v>174</v>
      </c>
      <c r="B4" s="3">
        <v>680122350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5B57B-A704-4960-B173-9A9781A4987A}">
  <sheetPr codeName="Sheet23">
    <tabColor theme="1"/>
  </sheetPr>
  <dimension ref="A1"/>
  <sheetViews>
    <sheetView topLeftCell="XFD1" workbookViewId="0"/>
  </sheetViews>
  <sheetFormatPr defaultColWidth="0" defaultRowHeight="15" x14ac:dyDescent="0.25"/>
  <cols>
    <col min="1" max="16384" width="8.7109375" hidden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81C50-5123-479D-9820-8B048F1D4080}">
  <sheetPr codeName="Sheet22">
    <tabColor rgb="FFFFFF00"/>
  </sheetPr>
  <dimension ref="A1:K112"/>
  <sheetViews>
    <sheetView topLeftCell="C1" zoomScale="98" zoomScaleNormal="98" workbookViewId="0">
      <pane ySplit="1" topLeftCell="A2" activePane="bottomLeft" state="frozen"/>
      <selection pane="bottomLeft" activeCell="H6" sqref="H6"/>
    </sheetView>
  </sheetViews>
  <sheetFormatPr defaultRowHeight="15" x14ac:dyDescent="0.25"/>
  <cols>
    <col min="1" max="1" width="28.5703125" bestFit="1" customWidth="1"/>
    <col min="2" max="2" width="8" bestFit="1" customWidth="1"/>
    <col min="3" max="3" width="13.140625" bestFit="1" customWidth="1"/>
    <col min="4" max="4" width="10.42578125" bestFit="1" customWidth="1"/>
    <col min="5" max="5" width="10.28515625" bestFit="1" customWidth="1"/>
    <col min="6" max="6" width="9.140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J1" s="47" t="s">
        <v>243</v>
      </c>
      <c r="K1" s="47" t="s">
        <v>244</v>
      </c>
    </row>
    <row r="2" spans="1:11" x14ac:dyDescent="0.25">
      <c r="A2" t="s">
        <v>8</v>
      </c>
      <c r="B2" t="s">
        <v>9</v>
      </c>
      <c r="C2" t="s">
        <v>10</v>
      </c>
      <c r="D2" s="2">
        <v>40326</v>
      </c>
      <c r="E2" t="s">
        <v>11</v>
      </c>
      <c r="F2" s="45">
        <v>9925</v>
      </c>
      <c r="J2" s="45"/>
      <c r="K2" cm="1">
        <f t="array" aca="1" ref="K2" ca="1">SUMCELLSBYCOLOR($F$2:$F$102,J2)</f>
        <v>83424</v>
      </c>
    </row>
    <row r="3" spans="1:11" x14ac:dyDescent="0.25">
      <c r="A3" t="s">
        <v>12</v>
      </c>
      <c r="B3" t="s">
        <v>13</v>
      </c>
      <c r="C3" t="s">
        <v>14</v>
      </c>
      <c r="D3" s="2">
        <v>41143</v>
      </c>
      <c r="E3" t="s">
        <v>15</v>
      </c>
      <c r="F3" s="42">
        <v>2804</v>
      </c>
      <c r="J3" s="42"/>
      <c r="K3" cm="1">
        <f t="array" aca="1" ref="K3" ca="1">SUMCELLSBYCOLOR($F$2:$F$102,J3)</f>
        <v>58955</v>
      </c>
    </row>
    <row r="4" spans="1:11" x14ac:dyDescent="0.25">
      <c r="A4" t="s">
        <v>16</v>
      </c>
      <c r="B4" t="s">
        <v>13</v>
      </c>
      <c r="C4" t="s">
        <v>17</v>
      </c>
      <c r="D4" s="2">
        <v>41761</v>
      </c>
      <c r="E4" t="s">
        <v>18</v>
      </c>
      <c r="F4" s="43">
        <v>1779</v>
      </c>
      <c r="J4" s="43"/>
      <c r="K4" cm="1">
        <f t="array" aca="1" ref="K4" ca="1">SUMCELLSBYCOLOR($F$2:$F$102,J4)</f>
        <v>48908</v>
      </c>
    </row>
    <row r="5" spans="1:11" x14ac:dyDescent="0.25">
      <c r="A5" t="s">
        <v>19</v>
      </c>
      <c r="B5" t="s">
        <v>9</v>
      </c>
      <c r="C5" t="s">
        <v>20</v>
      </c>
      <c r="D5" s="2">
        <v>41810</v>
      </c>
      <c r="E5" t="s">
        <v>21</v>
      </c>
      <c r="F5" s="43">
        <v>8102</v>
      </c>
      <c r="J5" s="44"/>
      <c r="K5" cm="1">
        <f t="array" aca="1" ref="K5" ca="1">SUMCELLSBYCOLOR($F$2:$F$102,J5)</f>
        <v>52198</v>
      </c>
    </row>
    <row r="6" spans="1:11" x14ac:dyDescent="0.25">
      <c r="A6" t="s">
        <v>22</v>
      </c>
      <c r="B6" t="s">
        <v>9</v>
      </c>
      <c r="C6" t="s">
        <v>17</v>
      </c>
      <c r="D6" s="2">
        <v>41306</v>
      </c>
      <c r="E6" t="s">
        <v>23</v>
      </c>
      <c r="F6" s="43">
        <v>5062</v>
      </c>
      <c r="J6" s="46"/>
      <c r="K6" cm="1">
        <f t="array" aca="1" ref="K6" ca="1">SUMCELLSBYCOLOR($F$2:$F$102,J6)</f>
        <v>269386</v>
      </c>
    </row>
    <row r="7" spans="1:11" x14ac:dyDescent="0.25">
      <c r="A7" t="s">
        <v>24</v>
      </c>
      <c r="B7" t="s">
        <v>13</v>
      </c>
      <c r="C7" t="s">
        <v>10</v>
      </c>
      <c r="D7" s="2">
        <v>42039</v>
      </c>
      <c r="E7" t="s">
        <v>25</v>
      </c>
      <c r="F7" s="42">
        <v>2974</v>
      </c>
    </row>
    <row r="8" spans="1:11" x14ac:dyDescent="0.25">
      <c r="A8" t="s">
        <v>26</v>
      </c>
      <c r="B8" t="s">
        <v>9</v>
      </c>
      <c r="C8" t="s">
        <v>27</v>
      </c>
      <c r="D8" s="2">
        <v>40656</v>
      </c>
      <c r="E8" t="s">
        <v>28</v>
      </c>
      <c r="F8" s="42">
        <v>4187</v>
      </c>
    </row>
    <row r="9" spans="1:11" x14ac:dyDescent="0.25">
      <c r="A9" t="s">
        <v>29</v>
      </c>
      <c r="B9" t="s">
        <v>13</v>
      </c>
      <c r="C9" t="s">
        <v>30</v>
      </c>
      <c r="D9" s="2">
        <v>41107</v>
      </c>
      <c r="E9" t="s">
        <v>31</v>
      </c>
      <c r="F9" s="42">
        <v>8082</v>
      </c>
    </row>
    <row r="10" spans="1:11" x14ac:dyDescent="0.25">
      <c r="A10" t="s">
        <v>32</v>
      </c>
      <c r="B10" t="s">
        <v>33</v>
      </c>
      <c r="C10" t="s">
        <v>34</v>
      </c>
      <c r="D10" s="2">
        <v>42199</v>
      </c>
      <c r="E10" t="s">
        <v>35</v>
      </c>
      <c r="F10" s="43">
        <v>6070</v>
      </c>
    </row>
    <row r="11" spans="1:11" x14ac:dyDescent="0.25">
      <c r="A11" t="s">
        <v>36</v>
      </c>
      <c r="B11" t="s">
        <v>13</v>
      </c>
      <c r="C11" t="s">
        <v>14</v>
      </c>
      <c r="D11" s="2">
        <v>41747</v>
      </c>
      <c r="E11" t="s">
        <v>37</v>
      </c>
      <c r="F11" s="42">
        <v>6593</v>
      </c>
    </row>
    <row r="12" spans="1:11" x14ac:dyDescent="0.25">
      <c r="A12" t="s">
        <v>38</v>
      </c>
      <c r="B12" t="s">
        <v>9</v>
      </c>
      <c r="C12" t="s">
        <v>30</v>
      </c>
      <c r="D12" s="2">
        <v>40718</v>
      </c>
      <c r="E12" t="s">
        <v>39</v>
      </c>
      <c r="F12" s="42">
        <v>124</v>
      </c>
    </row>
    <row r="13" spans="1:11" x14ac:dyDescent="0.25">
      <c r="A13" t="s">
        <v>40</v>
      </c>
      <c r="B13" t="s">
        <v>33</v>
      </c>
      <c r="C13" t="s">
        <v>41</v>
      </c>
      <c r="D13" s="2">
        <v>41853</v>
      </c>
      <c r="E13" t="s">
        <v>42</v>
      </c>
      <c r="F13" s="42">
        <v>4168</v>
      </c>
    </row>
    <row r="14" spans="1:11" x14ac:dyDescent="0.25">
      <c r="A14" t="s">
        <v>43</v>
      </c>
      <c r="B14" t="s">
        <v>13</v>
      </c>
      <c r="C14" t="s">
        <v>41</v>
      </c>
      <c r="D14" s="2">
        <v>42748</v>
      </c>
      <c r="E14" t="s">
        <v>44</v>
      </c>
      <c r="F14" s="42">
        <v>8263</v>
      </c>
    </row>
    <row r="15" spans="1:11" x14ac:dyDescent="0.25">
      <c r="A15" t="s">
        <v>45</v>
      </c>
      <c r="B15" t="s">
        <v>13</v>
      </c>
      <c r="C15" t="s">
        <v>27</v>
      </c>
      <c r="D15" s="2">
        <v>42774</v>
      </c>
      <c r="E15" t="s">
        <v>46</v>
      </c>
      <c r="F15" s="42">
        <v>8974</v>
      </c>
    </row>
    <row r="16" spans="1:11" x14ac:dyDescent="0.25">
      <c r="A16" t="s">
        <v>47</v>
      </c>
      <c r="B16" t="s">
        <v>9</v>
      </c>
      <c r="C16" t="s">
        <v>34</v>
      </c>
      <c r="D16" s="2">
        <v>41689</v>
      </c>
      <c r="E16" t="s">
        <v>48</v>
      </c>
      <c r="F16" s="42">
        <v>4901</v>
      </c>
    </row>
    <row r="17" spans="1:6" x14ac:dyDescent="0.25">
      <c r="A17" t="s">
        <v>49</v>
      </c>
      <c r="B17" t="s">
        <v>13</v>
      </c>
      <c r="C17" t="s">
        <v>41</v>
      </c>
      <c r="D17" s="2">
        <v>41022</v>
      </c>
      <c r="E17" t="s">
        <v>50</v>
      </c>
      <c r="F17" s="42">
        <v>1673</v>
      </c>
    </row>
    <row r="18" spans="1:6" x14ac:dyDescent="0.25">
      <c r="A18" t="s">
        <v>51</v>
      </c>
      <c r="B18" t="s">
        <v>13</v>
      </c>
      <c r="C18" t="s">
        <v>52</v>
      </c>
      <c r="D18" s="2">
        <v>42693</v>
      </c>
      <c r="E18" t="s">
        <v>53</v>
      </c>
      <c r="F18" s="43">
        <v>6952</v>
      </c>
    </row>
    <row r="19" spans="1:6" x14ac:dyDescent="0.25">
      <c r="A19" t="s">
        <v>54</v>
      </c>
      <c r="B19" t="s">
        <v>13</v>
      </c>
      <c r="C19" t="s">
        <v>55</v>
      </c>
      <c r="D19" s="2">
        <v>42095</v>
      </c>
      <c r="E19" t="s">
        <v>56</v>
      </c>
      <c r="F19" s="44">
        <v>5430</v>
      </c>
    </row>
    <row r="20" spans="1:6" x14ac:dyDescent="0.25">
      <c r="A20" t="s">
        <v>57</v>
      </c>
      <c r="B20" t="s">
        <v>9</v>
      </c>
      <c r="C20" t="s">
        <v>27</v>
      </c>
      <c r="D20" s="2">
        <v>40542</v>
      </c>
      <c r="E20" t="s">
        <v>58</v>
      </c>
      <c r="F20" s="44">
        <v>3830</v>
      </c>
    </row>
    <row r="21" spans="1:6" x14ac:dyDescent="0.25">
      <c r="A21" t="s">
        <v>59</v>
      </c>
      <c r="B21" t="s">
        <v>33</v>
      </c>
      <c r="C21" t="s">
        <v>60</v>
      </c>
      <c r="D21" s="2">
        <v>41121</v>
      </c>
      <c r="E21" t="s">
        <v>61</v>
      </c>
      <c r="F21" s="44">
        <v>5908</v>
      </c>
    </row>
    <row r="22" spans="1:6" x14ac:dyDescent="0.25">
      <c r="A22" t="s">
        <v>62</v>
      </c>
      <c r="B22" t="s">
        <v>9</v>
      </c>
      <c r="C22" t="s">
        <v>10</v>
      </c>
      <c r="D22" s="2">
        <v>41773</v>
      </c>
      <c r="E22" t="s">
        <v>63</v>
      </c>
      <c r="F22" s="44">
        <v>7450</v>
      </c>
    </row>
    <row r="23" spans="1:6" x14ac:dyDescent="0.25">
      <c r="A23" t="s">
        <v>64</v>
      </c>
      <c r="B23" t="s">
        <v>9</v>
      </c>
      <c r="C23" t="s">
        <v>10</v>
      </c>
      <c r="D23" s="2">
        <v>42216</v>
      </c>
      <c r="E23" t="s">
        <v>65</v>
      </c>
      <c r="F23" s="44">
        <v>1273</v>
      </c>
    </row>
    <row r="24" spans="1:6" x14ac:dyDescent="0.25">
      <c r="A24" t="s">
        <v>45</v>
      </c>
      <c r="B24" t="s">
        <v>13</v>
      </c>
      <c r="C24" t="s">
        <v>66</v>
      </c>
      <c r="D24" s="2">
        <v>42551</v>
      </c>
      <c r="E24" t="s">
        <v>67</v>
      </c>
      <c r="F24" s="42">
        <v>2225</v>
      </c>
    </row>
    <row r="25" spans="1:6" x14ac:dyDescent="0.25">
      <c r="A25" t="s">
        <v>68</v>
      </c>
      <c r="B25" t="s">
        <v>13</v>
      </c>
      <c r="C25" t="s">
        <v>20</v>
      </c>
      <c r="D25" s="2">
        <v>41890</v>
      </c>
      <c r="E25" t="s">
        <v>69</v>
      </c>
      <c r="F25" s="44">
        <v>2187</v>
      </c>
    </row>
    <row r="26" spans="1:6" x14ac:dyDescent="0.25">
      <c r="A26" t="s">
        <v>70</v>
      </c>
      <c r="B26" t="s">
        <v>33</v>
      </c>
      <c r="C26" t="s">
        <v>34</v>
      </c>
      <c r="D26" s="2">
        <v>42497</v>
      </c>
      <c r="E26" t="s">
        <v>71</v>
      </c>
      <c r="F26" s="44">
        <v>5070</v>
      </c>
    </row>
    <row r="27" spans="1:6" x14ac:dyDescent="0.25">
      <c r="A27" t="s">
        <v>72</v>
      </c>
      <c r="B27" t="s">
        <v>13</v>
      </c>
      <c r="C27" t="s">
        <v>52</v>
      </c>
      <c r="D27" s="2">
        <v>42877</v>
      </c>
      <c r="E27" t="s">
        <v>73</v>
      </c>
      <c r="F27" s="45">
        <v>1815</v>
      </c>
    </row>
    <row r="28" spans="1:6" x14ac:dyDescent="0.25">
      <c r="A28" t="s">
        <v>74</v>
      </c>
      <c r="B28" t="s">
        <v>13</v>
      </c>
      <c r="C28" t="s">
        <v>20</v>
      </c>
      <c r="D28" s="2">
        <v>41925</v>
      </c>
      <c r="E28" t="s">
        <v>75</v>
      </c>
      <c r="F28" s="44">
        <v>5398</v>
      </c>
    </row>
    <row r="29" spans="1:6" x14ac:dyDescent="0.25">
      <c r="A29" t="s">
        <v>76</v>
      </c>
      <c r="B29" t="s">
        <v>13</v>
      </c>
      <c r="C29" t="s">
        <v>20</v>
      </c>
      <c r="D29" s="2">
        <v>40305</v>
      </c>
      <c r="E29" t="s">
        <v>77</v>
      </c>
      <c r="F29" s="45">
        <v>5822</v>
      </c>
    </row>
    <row r="30" spans="1:6" x14ac:dyDescent="0.25">
      <c r="A30" t="s">
        <v>62</v>
      </c>
      <c r="B30" t="s">
        <v>9</v>
      </c>
      <c r="C30" t="s">
        <v>55</v>
      </c>
      <c r="D30" s="2">
        <v>41838</v>
      </c>
      <c r="E30" t="s">
        <v>78</v>
      </c>
      <c r="F30" s="44">
        <v>5124</v>
      </c>
    </row>
    <row r="31" spans="1:6" x14ac:dyDescent="0.25">
      <c r="A31" t="s">
        <v>79</v>
      </c>
      <c r="B31" t="s">
        <v>13</v>
      </c>
      <c r="C31" t="s">
        <v>27</v>
      </c>
      <c r="D31" s="2">
        <v>41055</v>
      </c>
      <c r="E31" t="s">
        <v>80</v>
      </c>
      <c r="F31" s="45">
        <v>2370</v>
      </c>
    </row>
    <row r="32" spans="1:6" x14ac:dyDescent="0.25">
      <c r="A32" t="s">
        <v>81</v>
      </c>
      <c r="B32" t="s">
        <v>13</v>
      </c>
      <c r="C32" t="s">
        <v>52</v>
      </c>
      <c r="D32" s="2">
        <v>41169</v>
      </c>
      <c r="E32" t="s">
        <v>82</v>
      </c>
      <c r="F32" s="45">
        <v>8661</v>
      </c>
    </row>
    <row r="33" spans="1:6" x14ac:dyDescent="0.25">
      <c r="A33" t="s">
        <v>83</v>
      </c>
      <c r="B33" t="s">
        <v>33</v>
      </c>
      <c r="C33" t="s">
        <v>34</v>
      </c>
      <c r="D33" s="2">
        <v>41637</v>
      </c>
      <c r="E33" t="s">
        <v>84</v>
      </c>
      <c r="F33" s="45">
        <v>2125</v>
      </c>
    </row>
    <row r="34" spans="1:6" x14ac:dyDescent="0.25">
      <c r="A34" t="s">
        <v>85</v>
      </c>
      <c r="B34" t="s">
        <v>9</v>
      </c>
      <c r="C34" t="s">
        <v>17</v>
      </c>
      <c r="D34" s="2">
        <v>42304</v>
      </c>
      <c r="E34" t="s">
        <v>86</v>
      </c>
      <c r="F34" s="45">
        <v>2924</v>
      </c>
    </row>
    <row r="35" spans="1:6" x14ac:dyDescent="0.25">
      <c r="A35" t="s">
        <v>87</v>
      </c>
      <c r="B35" t="s">
        <v>9</v>
      </c>
      <c r="C35" t="s">
        <v>27</v>
      </c>
      <c r="D35" s="2">
        <v>42020</v>
      </c>
      <c r="E35" t="s">
        <v>88</v>
      </c>
      <c r="F35" s="45">
        <v>8250</v>
      </c>
    </row>
    <row r="36" spans="1:6" x14ac:dyDescent="0.25">
      <c r="A36" t="s">
        <v>89</v>
      </c>
      <c r="B36" t="s">
        <v>9</v>
      </c>
      <c r="C36" t="s">
        <v>66</v>
      </c>
      <c r="D36" s="2">
        <v>42791</v>
      </c>
      <c r="E36" t="s">
        <v>90</v>
      </c>
      <c r="F36" s="45">
        <v>7327</v>
      </c>
    </row>
    <row r="37" spans="1:6" x14ac:dyDescent="0.25">
      <c r="A37" t="s">
        <v>91</v>
      </c>
      <c r="B37" t="s">
        <v>13</v>
      </c>
      <c r="C37" t="s">
        <v>34</v>
      </c>
      <c r="D37" s="2">
        <v>42863</v>
      </c>
      <c r="E37" t="s">
        <v>92</v>
      </c>
      <c r="F37" s="45">
        <v>6409</v>
      </c>
    </row>
    <row r="38" spans="1:6" x14ac:dyDescent="0.25">
      <c r="A38" t="s">
        <v>93</v>
      </c>
      <c r="B38" t="s">
        <v>13</v>
      </c>
      <c r="C38" t="s">
        <v>20</v>
      </c>
      <c r="D38" s="2">
        <v>40869</v>
      </c>
      <c r="E38" t="s">
        <v>94</v>
      </c>
      <c r="F38" s="45">
        <v>3784</v>
      </c>
    </row>
    <row r="39" spans="1:6" x14ac:dyDescent="0.25">
      <c r="A39" t="s">
        <v>79</v>
      </c>
      <c r="B39" t="s">
        <v>13</v>
      </c>
      <c r="C39" t="s">
        <v>60</v>
      </c>
      <c r="D39" s="2">
        <v>42749</v>
      </c>
      <c r="E39" t="s">
        <v>95</v>
      </c>
      <c r="F39" s="45">
        <v>4767</v>
      </c>
    </row>
    <row r="40" spans="1:6" x14ac:dyDescent="0.25">
      <c r="A40" t="s">
        <v>96</v>
      </c>
      <c r="B40" t="s">
        <v>33</v>
      </c>
      <c r="C40" t="s">
        <v>17</v>
      </c>
      <c r="D40" s="2">
        <v>41000</v>
      </c>
      <c r="E40" t="s">
        <v>97</v>
      </c>
      <c r="F40" s="45">
        <v>6708</v>
      </c>
    </row>
    <row r="41" spans="1:6" x14ac:dyDescent="0.25">
      <c r="A41" t="s">
        <v>49</v>
      </c>
      <c r="B41" t="s">
        <v>13</v>
      </c>
      <c r="C41" t="s">
        <v>17</v>
      </c>
      <c r="D41" s="2">
        <v>40955</v>
      </c>
      <c r="E41" t="s">
        <v>98</v>
      </c>
      <c r="F41" s="42">
        <v>3987</v>
      </c>
    </row>
    <row r="42" spans="1:6" x14ac:dyDescent="0.25">
      <c r="A42" t="s">
        <v>99</v>
      </c>
      <c r="B42" t="s">
        <v>13</v>
      </c>
      <c r="C42" t="s">
        <v>34</v>
      </c>
      <c r="D42" s="2">
        <v>42805</v>
      </c>
      <c r="E42" t="s">
        <v>100</v>
      </c>
      <c r="F42" s="45">
        <v>3015</v>
      </c>
    </row>
    <row r="43" spans="1:6" x14ac:dyDescent="0.25">
      <c r="A43" t="s">
        <v>101</v>
      </c>
      <c r="B43" t="s">
        <v>33</v>
      </c>
      <c r="C43" t="s">
        <v>52</v>
      </c>
      <c r="D43" s="2">
        <v>40215</v>
      </c>
      <c r="E43" t="s">
        <v>102</v>
      </c>
      <c r="F43" s="45">
        <v>7234</v>
      </c>
    </row>
    <row r="44" spans="1:6" x14ac:dyDescent="0.25">
      <c r="A44" t="s">
        <v>79</v>
      </c>
      <c r="B44" t="s">
        <v>13</v>
      </c>
      <c r="C44" t="s">
        <v>14</v>
      </c>
      <c r="D44" s="2">
        <v>41067</v>
      </c>
      <c r="E44" t="s">
        <v>103</v>
      </c>
      <c r="F44" s="45">
        <v>2117</v>
      </c>
    </row>
    <row r="45" spans="1:6" x14ac:dyDescent="0.25">
      <c r="A45" t="s">
        <v>104</v>
      </c>
      <c r="B45" t="s">
        <v>9</v>
      </c>
      <c r="C45" t="s">
        <v>30</v>
      </c>
      <c r="D45" s="2">
        <v>41188</v>
      </c>
      <c r="E45" t="s">
        <v>105</v>
      </c>
      <c r="F45" s="45">
        <v>171</v>
      </c>
    </row>
    <row r="46" spans="1:6" x14ac:dyDescent="0.25">
      <c r="A46" t="s">
        <v>87</v>
      </c>
      <c r="B46" t="s">
        <v>9</v>
      </c>
      <c r="C46" t="s">
        <v>41</v>
      </c>
      <c r="D46" s="2">
        <v>42322</v>
      </c>
      <c r="E46" t="s">
        <v>106</v>
      </c>
      <c r="F46" s="46">
        <v>5930</v>
      </c>
    </row>
    <row r="47" spans="1:6" x14ac:dyDescent="0.25">
      <c r="A47" t="s">
        <v>107</v>
      </c>
      <c r="B47" t="s">
        <v>13</v>
      </c>
      <c r="C47" t="s">
        <v>14</v>
      </c>
      <c r="D47" s="2">
        <v>42458</v>
      </c>
      <c r="E47" t="s">
        <v>108</v>
      </c>
      <c r="F47" s="46">
        <v>962</v>
      </c>
    </row>
    <row r="48" spans="1:6" x14ac:dyDescent="0.25">
      <c r="A48" t="s">
        <v>109</v>
      </c>
      <c r="B48" t="s">
        <v>9</v>
      </c>
      <c r="C48" t="s">
        <v>52</v>
      </c>
      <c r="D48" s="2">
        <v>42735</v>
      </c>
      <c r="E48" t="s">
        <v>110</v>
      </c>
      <c r="F48" s="46">
        <v>8867</v>
      </c>
    </row>
    <row r="49" spans="1:6" x14ac:dyDescent="0.25">
      <c r="A49" t="s">
        <v>81</v>
      </c>
      <c r="B49" t="s">
        <v>13</v>
      </c>
      <c r="C49" t="s">
        <v>34</v>
      </c>
      <c r="D49" s="2">
        <v>40535</v>
      </c>
      <c r="E49" t="s">
        <v>111</v>
      </c>
      <c r="F49" s="46">
        <v>273</v>
      </c>
    </row>
    <row r="50" spans="1:6" x14ac:dyDescent="0.25">
      <c r="A50" t="s">
        <v>112</v>
      </c>
      <c r="B50" t="s">
        <v>9</v>
      </c>
      <c r="C50" t="s">
        <v>41</v>
      </c>
      <c r="D50" s="2">
        <v>41926</v>
      </c>
      <c r="E50" t="s">
        <v>113</v>
      </c>
      <c r="F50" s="46">
        <v>7842</v>
      </c>
    </row>
    <row r="51" spans="1:6" x14ac:dyDescent="0.25">
      <c r="A51" t="s">
        <v>114</v>
      </c>
      <c r="B51" t="s">
        <v>9</v>
      </c>
      <c r="C51" t="s">
        <v>17</v>
      </c>
      <c r="D51" s="2">
        <v>40919</v>
      </c>
      <c r="E51" t="s">
        <v>115</v>
      </c>
      <c r="F51" s="46">
        <v>1266</v>
      </c>
    </row>
    <row r="52" spans="1:6" x14ac:dyDescent="0.25">
      <c r="A52" t="s">
        <v>116</v>
      </c>
      <c r="B52" t="s">
        <v>9</v>
      </c>
      <c r="C52" t="s">
        <v>41</v>
      </c>
      <c r="D52" s="2">
        <v>40211</v>
      </c>
      <c r="E52" t="s">
        <v>117</v>
      </c>
      <c r="F52" s="46">
        <v>2269</v>
      </c>
    </row>
    <row r="53" spans="1:6" x14ac:dyDescent="0.25">
      <c r="A53" t="s">
        <v>118</v>
      </c>
      <c r="B53" t="s">
        <v>9</v>
      </c>
      <c r="C53" t="s">
        <v>20</v>
      </c>
      <c r="D53" s="2">
        <v>41504</v>
      </c>
      <c r="E53" t="s">
        <v>119</v>
      </c>
      <c r="F53" s="46">
        <v>9606</v>
      </c>
    </row>
    <row r="54" spans="1:6" x14ac:dyDescent="0.25">
      <c r="A54" t="s">
        <v>120</v>
      </c>
      <c r="B54" t="s">
        <v>33</v>
      </c>
      <c r="C54" t="s">
        <v>14</v>
      </c>
      <c r="D54" s="2">
        <v>41358</v>
      </c>
      <c r="E54" t="s">
        <v>121</v>
      </c>
      <c r="F54" s="46">
        <v>4063</v>
      </c>
    </row>
    <row r="55" spans="1:6" x14ac:dyDescent="0.25">
      <c r="A55" t="s">
        <v>122</v>
      </c>
      <c r="B55" t="s">
        <v>33</v>
      </c>
      <c r="C55" t="s">
        <v>17</v>
      </c>
      <c r="D55" s="2">
        <v>40873</v>
      </c>
      <c r="E55" t="s">
        <v>123</v>
      </c>
      <c r="F55" s="46">
        <v>3457</v>
      </c>
    </row>
    <row r="56" spans="1:6" x14ac:dyDescent="0.25">
      <c r="A56" t="s">
        <v>19</v>
      </c>
      <c r="B56" t="s">
        <v>9</v>
      </c>
      <c r="C56" t="s">
        <v>20</v>
      </c>
      <c r="D56" s="2">
        <v>41534</v>
      </c>
      <c r="E56" t="s">
        <v>124</v>
      </c>
      <c r="F56" s="43">
        <v>7637</v>
      </c>
    </row>
    <row r="57" spans="1:6" x14ac:dyDescent="0.25">
      <c r="A57" t="s">
        <v>125</v>
      </c>
      <c r="B57" t="s">
        <v>9</v>
      </c>
      <c r="C57" t="s">
        <v>41</v>
      </c>
      <c r="D57" s="2">
        <v>41068</v>
      </c>
      <c r="E57" t="s">
        <v>126</v>
      </c>
      <c r="F57" s="46">
        <v>3482</v>
      </c>
    </row>
    <row r="58" spans="1:6" x14ac:dyDescent="0.25">
      <c r="A58" t="s">
        <v>127</v>
      </c>
      <c r="B58" t="s">
        <v>33</v>
      </c>
      <c r="C58" t="s">
        <v>41</v>
      </c>
      <c r="D58" s="2">
        <v>40359</v>
      </c>
      <c r="E58" t="s">
        <v>128</v>
      </c>
      <c r="F58" s="46">
        <v>9905</v>
      </c>
    </row>
    <row r="59" spans="1:6" x14ac:dyDescent="0.25">
      <c r="A59" t="s">
        <v>129</v>
      </c>
      <c r="B59" t="s">
        <v>9</v>
      </c>
      <c r="C59" t="s">
        <v>52</v>
      </c>
      <c r="D59" s="2">
        <v>42058</v>
      </c>
      <c r="E59" t="s">
        <v>130</v>
      </c>
      <c r="F59" s="46">
        <v>2847</v>
      </c>
    </row>
    <row r="60" spans="1:6" x14ac:dyDescent="0.25">
      <c r="A60" t="s">
        <v>131</v>
      </c>
      <c r="B60" t="s">
        <v>13</v>
      </c>
      <c r="C60" t="s">
        <v>27</v>
      </c>
      <c r="D60" s="2">
        <v>40913</v>
      </c>
      <c r="E60" t="s">
        <v>132</v>
      </c>
      <c r="F60" s="46">
        <v>282</v>
      </c>
    </row>
    <row r="61" spans="1:6" x14ac:dyDescent="0.25">
      <c r="A61" t="s">
        <v>89</v>
      </c>
      <c r="B61" t="s">
        <v>9</v>
      </c>
      <c r="C61" t="s">
        <v>52</v>
      </c>
      <c r="D61" s="2">
        <v>41736</v>
      </c>
      <c r="E61" t="s">
        <v>133</v>
      </c>
      <c r="F61" s="46">
        <v>7215</v>
      </c>
    </row>
    <row r="62" spans="1:6" x14ac:dyDescent="0.25">
      <c r="A62" t="s">
        <v>85</v>
      </c>
      <c r="B62" t="s">
        <v>9</v>
      </c>
      <c r="C62" t="s">
        <v>14</v>
      </c>
      <c r="D62" s="2">
        <v>41434</v>
      </c>
      <c r="E62" t="s">
        <v>134</v>
      </c>
      <c r="F62" s="46">
        <v>682</v>
      </c>
    </row>
    <row r="63" spans="1:6" x14ac:dyDescent="0.25">
      <c r="A63" t="s">
        <v>135</v>
      </c>
      <c r="B63" t="s">
        <v>9</v>
      </c>
      <c r="C63" t="s">
        <v>10</v>
      </c>
      <c r="D63" s="2">
        <v>41451</v>
      </c>
      <c r="E63" t="s">
        <v>136</v>
      </c>
      <c r="F63" s="46">
        <v>4750</v>
      </c>
    </row>
    <row r="64" spans="1:6" x14ac:dyDescent="0.25">
      <c r="A64" t="s">
        <v>54</v>
      </c>
      <c r="B64" t="s">
        <v>13</v>
      </c>
      <c r="C64" t="s">
        <v>17</v>
      </c>
      <c r="D64" s="2">
        <v>40854</v>
      </c>
      <c r="E64" t="s">
        <v>137</v>
      </c>
      <c r="F64" s="44">
        <v>5518</v>
      </c>
    </row>
    <row r="65" spans="1:6" x14ac:dyDescent="0.25">
      <c r="A65" t="s">
        <v>138</v>
      </c>
      <c r="B65" t="s">
        <v>13</v>
      </c>
      <c r="C65" t="s">
        <v>41</v>
      </c>
      <c r="D65" s="2">
        <v>40481</v>
      </c>
      <c r="E65" t="s">
        <v>139</v>
      </c>
      <c r="F65" s="46">
        <v>6116</v>
      </c>
    </row>
    <row r="66" spans="1:6" x14ac:dyDescent="0.25">
      <c r="A66" t="s">
        <v>140</v>
      </c>
      <c r="B66" t="s">
        <v>9</v>
      </c>
      <c r="C66" t="s">
        <v>52</v>
      </c>
      <c r="D66" s="2">
        <v>41560</v>
      </c>
      <c r="E66" t="s">
        <v>141</v>
      </c>
      <c r="F66" s="46">
        <v>1705</v>
      </c>
    </row>
    <row r="67" spans="1:6" x14ac:dyDescent="0.25">
      <c r="A67" t="s">
        <v>22</v>
      </c>
      <c r="B67" t="s">
        <v>9</v>
      </c>
      <c r="C67" t="s">
        <v>52</v>
      </c>
      <c r="D67" s="2">
        <v>41558</v>
      </c>
      <c r="E67" t="s">
        <v>142</v>
      </c>
      <c r="F67" s="43">
        <v>4477</v>
      </c>
    </row>
    <row r="68" spans="1:6" x14ac:dyDescent="0.25">
      <c r="A68" t="s">
        <v>143</v>
      </c>
      <c r="B68" t="s">
        <v>9</v>
      </c>
      <c r="C68" t="s">
        <v>34</v>
      </c>
      <c r="D68" s="2">
        <v>41098</v>
      </c>
      <c r="E68" t="s">
        <v>144</v>
      </c>
      <c r="F68" s="46">
        <v>8656</v>
      </c>
    </row>
    <row r="69" spans="1:6" x14ac:dyDescent="0.25">
      <c r="A69" t="s">
        <v>145</v>
      </c>
      <c r="B69" t="s">
        <v>9</v>
      </c>
      <c r="C69" t="s">
        <v>41</v>
      </c>
      <c r="D69" s="2">
        <v>42576</v>
      </c>
      <c r="E69" t="s">
        <v>146</v>
      </c>
      <c r="F69" s="46">
        <v>5498</v>
      </c>
    </row>
    <row r="70" spans="1:6" x14ac:dyDescent="0.25">
      <c r="A70" t="s">
        <v>147</v>
      </c>
      <c r="B70" t="s">
        <v>13</v>
      </c>
      <c r="C70" t="s">
        <v>17</v>
      </c>
      <c r="D70" s="2">
        <v>40475</v>
      </c>
      <c r="E70" t="s">
        <v>148</v>
      </c>
      <c r="F70" s="46">
        <v>8287</v>
      </c>
    </row>
    <row r="71" spans="1:6" x14ac:dyDescent="0.25">
      <c r="A71" t="s">
        <v>149</v>
      </c>
      <c r="B71" t="s">
        <v>9</v>
      </c>
      <c r="C71" t="s">
        <v>41</v>
      </c>
      <c r="D71" s="2">
        <v>42119</v>
      </c>
      <c r="E71" t="s">
        <v>150</v>
      </c>
      <c r="F71" s="46">
        <v>7342</v>
      </c>
    </row>
    <row r="72" spans="1:6" x14ac:dyDescent="0.25">
      <c r="A72" t="s">
        <v>57</v>
      </c>
      <c r="B72" t="s">
        <v>9</v>
      </c>
      <c r="C72" t="s">
        <v>17</v>
      </c>
      <c r="D72" s="2">
        <v>41387</v>
      </c>
      <c r="E72" t="s">
        <v>151</v>
      </c>
      <c r="F72" s="44">
        <v>5010</v>
      </c>
    </row>
    <row r="73" spans="1:6" x14ac:dyDescent="0.25">
      <c r="A73" t="s">
        <v>138</v>
      </c>
      <c r="B73" t="s">
        <v>13</v>
      </c>
      <c r="C73" t="s">
        <v>20</v>
      </c>
      <c r="D73" s="2">
        <v>42230</v>
      </c>
      <c r="E73" t="s">
        <v>152</v>
      </c>
      <c r="F73" s="46">
        <v>673</v>
      </c>
    </row>
    <row r="74" spans="1:6" x14ac:dyDescent="0.25">
      <c r="A74" t="s">
        <v>153</v>
      </c>
      <c r="B74" t="s">
        <v>13</v>
      </c>
      <c r="C74" t="s">
        <v>55</v>
      </c>
      <c r="D74" s="2">
        <v>40689</v>
      </c>
      <c r="E74" t="s">
        <v>154</v>
      </c>
      <c r="F74" s="46">
        <v>5741</v>
      </c>
    </row>
    <row r="75" spans="1:6" x14ac:dyDescent="0.25">
      <c r="A75" t="s">
        <v>89</v>
      </c>
      <c r="B75" t="s">
        <v>9</v>
      </c>
      <c r="C75" t="s">
        <v>14</v>
      </c>
      <c r="D75" s="2">
        <v>42875</v>
      </c>
      <c r="E75" t="s">
        <v>155</v>
      </c>
      <c r="F75" s="46">
        <v>8656</v>
      </c>
    </row>
    <row r="76" spans="1:6" x14ac:dyDescent="0.25">
      <c r="A76" t="s">
        <v>156</v>
      </c>
      <c r="B76" t="s">
        <v>9</v>
      </c>
      <c r="C76" t="s">
        <v>52</v>
      </c>
      <c r="D76" s="2">
        <v>41460</v>
      </c>
      <c r="E76" t="s">
        <v>157</v>
      </c>
      <c r="F76" s="46">
        <v>9892</v>
      </c>
    </row>
    <row r="77" spans="1:6" x14ac:dyDescent="0.25">
      <c r="A77" t="s">
        <v>158</v>
      </c>
      <c r="B77" t="s">
        <v>9</v>
      </c>
      <c r="C77" t="s">
        <v>27</v>
      </c>
      <c r="D77" s="2">
        <v>41949</v>
      </c>
      <c r="E77" t="s">
        <v>159</v>
      </c>
      <c r="F77" s="46">
        <v>6954</v>
      </c>
    </row>
    <row r="78" spans="1:6" x14ac:dyDescent="0.25">
      <c r="A78" t="s">
        <v>160</v>
      </c>
      <c r="B78" t="s">
        <v>13</v>
      </c>
      <c r="C78" t="s">
        <v>55</v>
      </c>
      <c r="D78" s="2">
        <v>41940</v>
      </c>
      <c r="E78" t="s">
        <v>161</v>
      </c>
      <c r="F78" s="46">
        <v>9379</v>
      </c>
    </row>
    <row r="79" spans="1:6" x14ac:dyDescent="0.25">
      <c r="A79" t="s">
        <v>162</v>
      </c>
      <c r="B79" t="s">
        <v>13</v>
      </c>
      <c r="C79" t="s">
        <v>30</v>
      </c>
      <c r="D79" s="2">
        <v>40801</v>
      </c>
      <c r="E79" t="s">
        <v>163</v>
      </c>
      <c r="F79" s="46">
        <v>3732</v>
      </c>
    </row>
    <row r="80" spans="1:6" x14ac:dyDescent="0.25">
      <c r="A80" t="s">
        <v>164</v>
      </c>
      <c r="B80" t="s">
        <v>9</v>
      </c>
      <c r="C80" t="s">
        <v>10</v>
      </c>
      <c r="D80" s="2">
        <v>41058</v>
      </c>
      <c r="E80" t="s">
        <v>165</v>
      </c>
      <c r="F80" s="46">
        <v>8614</v>
      </c>
    </row>
    <row r="81" spans="1:6" x14ac:dyDescent="0.25">
      <c r="A81" t="s">
        <v>166</v>
      </c>
      <c r="B81" t="s">
        <v>9</v>
      </c>
      <c r="C81" t="s">
        <v>52</v>
      </c>
      <c r="D81" s="2">
        <v>41475</v>
      </c>
      <c r="E81" t="s">
        <v>167</v>
      </c>
      <c r="F81" s="46">
        <v>9654</v>
      </c>
    </row>
    <row r="82" spans="1:6" x14ac:dyDescent="0.25">
      <c r="A82" t="s">
        <v>168</v>
      </c>
      <c r="B82" t="s">
        <v>9</v>
      </c>
      <c r="C82" t="s">
        <v>27</v>
      </c>
      <c r="D82" s="2">
        <v>41203</v>
      </c>
      <c r="E82" t="s">
        <v>169</v>
      </c>
      <c r="F82" s="46">
        <v>4513</v>
      </c>
    </row>
    <row r="83" spans="1:6" x14ac:dyDescent="0.25">
      <c r="A83" t="s">
        <v>170</v>
      </c>
      <c r="B83" t="s">
        <v>13</v>
      </c>
      <c r="C83" t="s">
        <v>41</v>
      </c>
      <c r="D83" s="2">
        <v>41170</v>
      </c>
      <c r="E83" t="s">
        <v>171</v>
      </c>
      <c r="F83" s="46">
        <v>7884</v>
      </c>
    </row>
    <row r="84" spans="1:6" x14ac:dyDescent="0.25">
      <c r="A84" t="s">
        <v>172</v>
      </c>
      <c r="B84" t="s">
        <v>9</v>
      </c>
      <c r="C84" t="s">
        <v>52</v>
      </c>
      <c r="D84" s="2">
        <v>42689</v>
      </c>
      <c r="E84" t="s">
        <v>173</v>
      </c>
      <c r="F84" s="46">
        <v>6489</v>
      </c>
    </row>
    <row r="85" spans="1:6" x14ac:dyDescent="0.25">
      <c r="A85" t="s">
        <v>174</v>
      </c>
      <c r="B85" t="s">
        <v>13</v>
      </c>
      <c r="C85" t="s">
        <v>66</v>
      </c>
      <c r="D85" s="2">
        <v>40547</v>
      </c>
      <c r="E85" t="s">
        <v>175</v>
      </c>
      <c r="F85" s="46">
        <v>4085</v>
      </c>
    </row>
    <row r="86" spans="1:6" x14ac:dyDescent="0.25">
      <c r="A86" t="s">
        <v>176</v>
      </c>
      <c r="B86" t="s">
        <v>13</v>
      </c>
      <c r="C86" t="s">
        <v>30</v>
      </c>
      <c r="D86" s="2">
        <v>40986</v>
      </c>
      <c r="E86" t="s">
        <v>177</v>
      </c>
      <c r="F86" s="46">
        <v>6457</v>
      </c>
    </row>
    <row r="87" spans="1:6" x14ac:dyDescent="0.25">
      <c r="A87" t="s">
        <v>158</v>
      </c>
      <c r="B87" t="s">
        <v>9</v>
      </c>
      <c r="C87" t="s">
        <v>34</v>
      </c>
      <c r="D87" s="2">
        <v>40956</v>
      </c>
      <c r="E87" t="s">
        <v>178</v>
      </c>
      <c r="F87" s="46">
        <v>6422</v>
      </c>
    </row>
    <row r="88" spans="1:6" x14ac:dyDescent="0.25">
      <c r="A88" t="s">
        <v>19</v>
      </c>
      <c r="B88" t="s">
        <v>9</v>
      </c>
      <c r="C88" t="s">
        <v>55</v>
      </c>
      <c r="D88" s="2">
        <v>40559</v>
      </c>
      <c r="E88" t="s">
        <v>179</v>
      </c>
      <c r="F88" s="43">
        <v>8829</v>
      </c>
    </row>
    <row r="89" spans="1:6" x14ac:dyDescent="0.25">
      <c r="A89" t="s">
        <v>79</v>
      </c>
      <c r="B89" t="s">
        <v>13</v>
      </c>
      <c r="C89" t="s">
        <v>10</v>
      </c>
      <c r="D89" s="2">
        <v>41673</v>
      </c>
      <c r="E89" t="s">
        <v>180</v>
      </c>
      <c r="F89" s="46">
        <v>5559</v>
      </c>
    </row>
    <row r="90" spans="1:6" x14ac:dyDescent="0.25">
      <c r="A90" t="s">
        <v>181</v>
      </c>
      <c r="B90" t="s">
        <v>13</v>
      </c>
      <c r="C90" t="s">
        <v>20</v>
      </c>
      <c r="D90" s="2">
        <v>41029</v>
      </c>
      <c r="E90" t="s">
        <v>182</v>
      </c>
      <c r="F90" s="46">
        <v>522</v>
      </c>
    </row>
    <row r="91" spans="1:6" x14ac:dyDescent="0.25">
      <c r="A91" t="s">
        <v>183</v>
      </c>
      <c r="B91" t="s">
        <v>13</v>
      </c>
      <c r="C91" t="s">
        <v>55</v>
      </c>
      <c r="D91" s="2">
        <v>42666</v>
      </c>
      <c r="E91" t="s">
        <v>184</v>
      </c>
      <c r="F91" s="46">
        <v>4660</v>
      </c>
    </row>
    <row r="92" spans="1:6" x14ac:dyDescent="0.25">
      <c r="A92" t="s">
        <v>122</v>
      </c>
      <c r="B92" t="s">
        <v>33</v>
      </c>
      <c r="C92" t="s">
        <v>17</v>
      </c>
      <c r="D92" s="2">
        <v>42710</v>
      </c>
      <c r="E92" t="s">
        <v>185</v>
      </c>
      <c r="F92" s="46">
        <v>948</v>
      </c>
    </row>
    <row r="93" spans="1:6" x14ac:dyDescent="0.25">
      <c r="A93" t="s">
        <v>85</v>
      </c>
      <c r="B93" t="s">
        <v>9</v>
      </c>
      <c r="C93" t="s">
        <v>55</v>
      </c>
      <c r="D93" s="2">
        <v>41827</v>
      </c>
      <c r="E93" t="s">
        <v>186</v>
      </c>
      <c r="F93" s="46">
        <v>9389</v>
      </c>
    </row>
    <row r="94" spans="1:6" x14ac:dyDescent="0.25">
      <c r="A94" t="s">
        <v>101</v>
      </c>
      <c r="B94" t="s">
        <v>33</v>
      </c>
      <c r="C94" t="s">
        <v>17</v>
      </c>
      <c r="D94" s="2">
        <v>41073</v>
      </c>
      <c r="E94" t="s">
        <v>187</v>
      </c>
      <c r="F94" s="46">
        <v>2021</v>
      </c>
    </row>
    <row r="95" spans="1:6" x14ac:dyDescent="0.25">
      <c r="A95" t="s">
        <v>188</v>
      </c>
      <c r="B95" t="s">
        <v>13</v>
      </c>
      <c r="C95" t="s">
        <v>52</v>
      </c>
      <c r="D95" s="2">
        <v>40508</v>
      </c>
      <c r="E95" t="s">
        <v>189</v>
      </c>
      <c r="F95" s="46">
        <v>7910</v>
      </c>
    </row>
    <row r="96" spans="1:6" x14ac:dyDescent="0.25">
      <c r="A96" t="s">
        <v>190</v>
      </c>
      <c r="B96" t="s">
        <v>9</v>
      </c>
      <c r="C96" t="s">
        <v>55</v>
      </c>
      <c r="D96" s="2">
        <v>40582</v>
      </c>
      <c r="E96" t="s">
        <v>191</v>
      </c>
      <c r="F96" s="46">
        <v>8156</v>
      </c>
    </row>
    <row r="97" spans="1:6" x14ac:dyDescent="0.25">
      <c r="A97" t="s">
        <v>76</v>
      </c>
      <c r="B97" t="s">
        <v>13</v>
      </c>
      <c r="C97" t="s">
        <v>41</v>
      </c>
      <c r="D97" s="2">
        <v>40750</v>
      </c>
      <c r="E97" t="s">
        <v>192</v>
      </c>
      <c r="F97" s="46">
        <v>888</v>
      </c>
    </row>
    <row r="98" spans="1:6" x14ac:dyDescent="0.25">
      <c r="A98" t="s">
        <v>193</v>
      </c>
      <c r="B98" t="s">
        <v>13</v>
      </c>
      <c r="C98" t="s">
        <v>20</v>
      </c>
      <c r="D98" s="2">
        <v>40858</v>
      </c>
      <c r="E98" t="s">
        <v>194</v>
      </c>
      <c r="F98" s="46">
        <v>6267</v>
      </c>
    </row>
    <row r="99" spans="1:6" x14ac:dyDescent="0.25">
      <c r="A99" t="s">
        <v>122</v>
      </c>
      <c r="B99" t="s">
        <v>33</v>
      </c>
      <c r="C99" t="s">
        <v>30</v>
      </c>
      <c r="D99" s="2">
        <v>42522</v>
      </c>
      <c r="E99" t="s">
        <v>195</v>
      </c>
      <c r="F99" s="46">
        <v>1485</v>
      </c>
    </row>
    <row r="100" spans="1:6" x14ac:dyDescent="0.25">
      <c r="A100" t="s">
        <v>158</v>
      </c>
      <c r="B100" t="s">
        <v>9</v>
      </c>
      <c r="C100" t="s">
        <v>34</v>
      </c>
      <c r="D100" s="2">
        <v>42215</v>
      </c>
      <c r="E100" t="s">
        <v>196</v>
      </c>
      <c r="F100" s="46">
        <v>5767</v>
      </c>
    </row>
    <row r="101" spans="1:6" x14ac:dyDescent="0.25">
      <c r="A101" t="s">
        <v>197</v>
      </c>
      <c r="B101" t="s">
        <v>13</v>
      </c>
      <c r="C101" t="s">
        <v>27</v>
      </c>
      <c r="D101" s="2">
        <v>40949</v>
      </c>
      <c r="E101" t="s">
        <v>198</v>
      </c>
      <c r="F101" s="46">
        <v>5367</v>
      </c>
    </row>
    <row r="108" spans="1:6" x14ac:dyDescent="0.25">
      <c r="F108" s="45"/>
    </row>
    <row r="109" spans="1:6" x14ac:dyDescent="0.25">
      <c r="F109" s="42"/>
    </row>
    <row r="110" spans="1:6" x14ac:dyDescent="0.25">
      <c r="F110" s="43"/>
    </row>
    <row r="111" spans="1:6" x14ac:dyDescent="0.25">
      <c r="F111" s="44"/>
    </row>
    <row r="112" spans="1:6" x14ac:dyDescent="0.25">
      <c r="F112" s="46"/>
    </row>
  </sheetData>
  <conditionalFormatting sqref="E2:E101">
    <cfRule type="duplicateValues" dxfId="0" priority="1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9B015-550B-436A-AA5A-3031617CCDFD}">
  <sheetPr codeName="Sheet24">
    <tabColor rgb="FFFFFF00"/>
  </sheetPr>
  <dimension ref="A1:N13"/>
  <sheetViews>
    <sheetView tabSelected="1" topLeftCell="E1" zoomScale="80" zoomScaleNormal="80"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12.140625" bestFit="1" customWidth="1"/>
    <col min="2" max="2" width="48.85546875" bestFit="1" customWidth="1"/>
    <col min="3" max="3" width="15.140625" bestFit="1" customWidth="1"/>
    <col min="4" max="4" width="16" bestFit="1" customWidth="1"/>
    <col min="5" max="5" width="12.5703125" bestFit="1" customWidth="1"/>
    <col min="6" max="6" width="10.85546875" bestFit="1" customWidth="1"/>
    <col min="7" max="7" width="10.140625" bestFit="1" customWidth="1"/>
    <col min="8" max="8" width="9.85546875" bestFit="1" customWidth="1"/>
    <col min="9" max="9" width="11.7109375" bestFit="1" customWidth="1"/>
    <col min="10" max="10" width="13.42578125" bestFit="1" customWidth="1"/>
    <col min="11" max="11" width="11" bestFit="1" customWidth="1"/>
  </cols>
  <sheetData>
    <row r="1" spans="1:14" x14ac:dyDescent="0.25">
      <c r="A1" s="48" t="s">
        <v>245</v>
      </c>
      <c r="B1" s="48" t="s">
        <v>246</v>
      </c>
      <c r="C1" s="48" t="s">
        <v>247</v>
      </c>
      <c r="D1" s="48" t="s">
        <v>248</v>
      </c>
      <c r="E1" s="48" t="s">
        <v>249</v>
      </c>
      <c r="F1" t="s">
        <v>250</v>
      </c>
      <c r="G1" t="s">
        <v>251</v>
      </c>
      <c r="H1" t="s">
        <v>252</v>
      </c>
      <c r="I1" s="48" t="s">
        <v>253</v>
      </c>
      <c r="J1" s="48" t="s">
        <v>254</v>
      </c>
      <c r="K1" s="48" t="s">
        <v>228</v>
      </c>
    </row>
    <row r="2" spans="1:14" x14ac:dyDescent="0.25">
      <c r="A2" s="49" t="s">
        <v>255</v>
      </c>
      <c r="B2" s="49" t="s">
        <v>256</v>
      </c>
      <c r="C2" s="49" t="s">
        <v>17</v>
      </c>
      <c r="D2" s="49" t="s">
        <v>257</v>
      </c>
      <c r="E2" s="49" t="s">
        <v>258</v>
      </c>
      <c r="F2" s="50">
        <v>42517</v>
      </c>
      <c r="G2" s="51">
        <v>52800</v>
      </c>
      <c r="H2" s="51">
        <v>83700</v>
      </c>
      <c r="I2" s="51">
        <f>H2-G2</f>
        <v>30900</v>
      </c>
      <c r="J2" s="51">
        <v>29</v>
      </c>
      <c r="K2" s="52" cm="1">
        <f t="array" ref="K2">Discount(J2,H2)</f>
        <v>242730</v>
      </c>
    </row>
    <row r="3" spans="1:14" x14ac:dyDescent="0.25">
      <c r="A3" s="49" t="s">
        <v>255</v>
      </c>
      <c r="B3" s="49" t="s">
        <v>259</v>
      </c>
      <c r="C3" s="49" t="s">
        <v>17</v>
      </c>
      <c r="D3" s="49" t="s">
        <v>260</v>
      </c>
      <c r="E3" s="49" t="s">
        <v>258</v>
      </c>
      <c r="F3" s="50">
        <v>42517</v>
      </c>
      <c r="G3" s="51">
        <v>35850</v>
      </c>
      <c r="H3" s="51">
        <v>63900</v>
      </c>
      <c r="I3" s="51">
        <f t="shared" ref="I3:I13" si="0">H3-G3</f>
        <v>28050</v>
      </c>
      <c r="J3" s="51">
        <v>29</v>
      </c>
      <c r="K3" s="52" cm="1">
        <f t="array" ref="K3">Discount(J3,H3)</f>
        <v>185310</v>
      </c>
      <c r="N3" s="47" t="s">
        <v>278</v>
      </c>
    </row>
    <row r="4" spans="1:14" x14ac:dyDescent="0.25">
      <c r="A4" s="49" t="s">
        <v>261</v>
      </c>
      <c r="B4" s="49" t="s">
        <v>262</v>
      </c>
      <c r="C4" s="49" t="s">
        <v>17</v>
      </c>
      <c r="D4" s="49" t="s">
        <v>260</v>
      </c>
      <c r="E4" s="49" t="s">
        <v>263</v>
      </c>
      <c r="F4" s="50">
        <v>42519</v>
      </c>
      <c r="G4" s="51">
        <v>36150</v>
      </c>
      <c r="H4" s="51">
        <v>55650</v>
      </c>
      <c r="I4" s="51">
        <f t="shared" si="0"/>
        <v>19500</v>
      </c>
      <c r="J4" s="51">
        <v>42</v>
      </c>
      <c r="K4" s="52" cm="1">
        <f t="array" ref="K4">Discount(J4,H4)</f>
        <v>233730</v>
      </c>
    </row>
    <row r="5" spans="1:14" x14ac:dyDescent="0.25">
      <c r="A5" s="49" t="s">
        <v>255</v>
      </c>
      <c r="B5" s="49" t="s">
        <v>264</v>
      </c>
      <c r="C5" s="49" t="s">
        <v>265</v>
      </c>
      <c r="D5" s="49" t="s">
        <v>266</v>
      </c>
      <c r="E5" s="49" t="s">
        <v>267</v>
      </c>
      <c r="F5" s="50">
        <v>42520</v>
      </c>
      <c r="G5" s="51">
        <v>1125000</v>
      </c>
      <c r="H5" s="51">
        <v>1814550</v>
      </c>
      <c r="I5" s="51">
        <f t="shared" si="0"/>
        <v>689550</v>
      </c>
      <c r="J5" s="51">
        <v>6</v>
      </c>
      <c r="K5" s="52" cm="1">
        <f t="array" ref="K5">Discount(J5,H5)</f>
        <v>0</v>
      </c>
    </row>
    <row r="6" spans="1:14" x14ac:dyDescent="0.25">
      <c r="A6" s="49" t="s">
        <v>261</v>
      </c>
      <c r="B6" s="49" t="s">
        <v>268</v>
      </c>
      <c r="C6" s="49" t="s">
        <v>17</v>
      </c>
      <c r="D6" s="49" t="s">
        <v>260</v>
      </c>
      <c r="E6" s="49" t="s">
        <v>258</v>
      </c>
      <c r="F6" s="50">
        <v>42520</v>
      </c>
      <c r="G6" s="51">
        <v>13500</v>
      </c>
      <c r="H6" s="51">
        <v>31500</v>
      </c>
      <c r="I6" s="51">
        <f t="shared" si="0"/>
        <v>18000</v>
      </c>
      <c r="J6" s="51">
        <v>17</v>
      </c>
      <c r="K6" s="52" cm="1">
        <f t="array" ref="K6">Discount(J6,H6)</f>
        <v>0</v>
      </c>
    </row>
    <row r="7" spans="1:14" x14ac:dyDescent="0.25">
      <c r="A7" s="49" t="s">
        <v>269</v>
      </c>
      <c r="B7" s="49" t="s">
        <v>270</v>
      </c>
      <c r="C7" s="49" t="s">
        <v>17</v>
      </c>
      <c r="D7" s="49" t="s">
        <v>260</v>
      </c>
      <c r="E7" s="49" t="s">
        <v>258</v>
      </c>
      <c r="F7" s="50">
        <v>42527</v>
      </c>
      <c r="G7" s="51">
        <v>16350.000000000002</v>
      </c>
      <c r="H7" s="51">
        <v>39000</v>
      </c>
      <c r="I7" s="51">
        <f t="shared" si="0"/>
        <v>22650</v>
      </c>
      <c r="J7" s="51">
        <v>47</v>
      </c>
      <c r="K7" s="52" cm="1">
        <f t="array" ref="K7">Discount(J7,H7)</f>
        <v>183300</v>
      </c>
    </row>
    <row r="8" spans="1:14" x14ac:dyDescent="0.25">
      <c r="A8" s="49" t="s">
        <v>261</v>
      </c>
      <c r="B8" s="49" t="s">
        <v>271</v>
      </c>
      <c r="C8" s="49" t="s">
        <v>17</v>
      </c>
      <c r="D8" s="49" t="s">
        <v>257</v>
      </c>
      <c r="E8" s="49" t="s">
        <v>258</v>
      </c>
      <c r="F8" s="50">
        <v>42525</v>
      </c>
      <c r="G8" s="51">
        <v>1490850</v>
      </c>
      <c r="H8" s="51">
        <v>2443950</v>
      </c>
      <c r="I8" s="51">
        <f t="shared" si="0"/>
        <v>953100</v>
      </c>
      <c r="J8" s="51">
        <v>32</v>
      </c>
      <c r="K8" s="52" cm="1">
        <f t="array" ref="K8">Discount(J8,H8)</f>
        <v>7820640</v>
      </c>
    </row>
    <row r="9" spans="1:14" x14ac:dyDescent="0.25">
      <c r="A9" s="49" t="s">
        <v>261</v>
      </c>
      <c r="B9" s="49" t="s">
        <v>272</v>
      </c>
      <c r="C9" s="49" t="s">
        <v>17</v>
      </c>
      <c r="D9" s="49" t="s">
        <v>260</v>
      </c>
      <c r="E9" s="49" t="s">
        <v>258</v>
      </c>
      <c r="F9" s="50">
        <v>42527</v>
      </c>
      <c r="G9" s="51">
        <v>16350.000000000002</v>
      </c>
      <c r="H9" s="51">
        <v>25200</v>
      </c>
      <c r="I9" s="51">
        <f t="shared" si="0"/>
        <v>8849.9999999999982</v>
      </c>
      <c r="J9" s="51">
        <v>33</v>
      </c>
      <c r="K9" s="52" cm="1">
        <f t="array" ref="K9">Discount(J9,H9)</f>
        <v>83160</v>
      </c>
    </row>
    <row r="10" spans="1:14" x14ac:dyDescent="0.25">
      <c r="A10" s="49" t="s">
        <v>273</v>
      </c>
      <c r="B10" s="49" t="s">
        <v>274</v>
      </c>
      <c r="C10" s="49" t="s">
        <v>17</v>
      </c>
      <c r="D10" s="49" t="s">
        <v>257</v>
      </c>
      <c r="E10" s="49" t="s">
        <v>258</v>
      </c>
      <c r="F10" s="50">
        <v>42528</v>
      </c>
      <c r="G10" s="51">
        <v>814350</v>
      </c>
      <c r="H10" s="51">
        <v>1357200</v>
      </c>
      <c r="I10" s="51">
        <f t="shared" si="0"/>
        <v>542850</v>
      </c>
      <c r="J10" s="51">
        <v>8</v>
      </c>
      <c r="K10" s="52" cm="1">
        <f t="array" ref="K10">Discount(J10,H10)</f>
        <v>0</v>
      </c>
    </row>
    <row r="11" spans="1:14" x14ac:dyDescent="0.25">
      <c r="A11" s="49" t="s">
        <v>273</v>
      </c>
      <c r="B11" s="49" t="s">
        <v>275</v>
      </c>
      <c r="C11" s="49" t="s">
        <v>17</v>
      </c>
      <c r="D11" s="49" t="s">
        <v>257</v>
      </c>
      <c r="E11" s="49" t="s">
        <v>258</v>
      </c>
      <c r="F11" s="50">
        <v>42528</v>
      </c>
      <c r="G11" s="51">
        <v>79950</v>
      </c>
      <c r="H11" s="51">
        <v>129000</v>
      </c>
      <c r="I11" s="51">
        <f t="shared" si="0"/>
        <v>49050</v>
      </c>
      <c r="J11" s="51">
        <v>48</v>
      </c>
      <c r="K11" s="52" cm="1">
        <f t="array" ref="K11">Discount(J11,H11)</f>
        <v>619200</v>
      </c>
    </row>
    <row r="12" spans="1:14" x14ac:dyDescent="0.25">
      <c r="A12" s="49" t="s">
        <v>276</v>
      </c>
      <c r="B12" s="49" t="s">
        <v>277</v>
      </c>
      <c r="C12" s="49" t="s">
        <v>17</v>
      </c>
      <c r="D12" s="49" t="s">
        <v>257</v>
      </c>
      <c r="E12" s="49" t="s">
        <v>258</v>
      </c>
      <c r="F12" s="50">
        <v>42532</v>
      </c>
      <c r="G12" s="51">
        <v>73350</v>
      </c>
      <c r="H12" s="51">
        <v>114600</v>
      </c>
      <c r="I12" s="51">
        <f t="shared" si="0"/>
        <v>41250</v>
      </c>
      <c r="J12" s="51">
        <v>18</v>
      </c>
      <c r="K12" s="52" cm="1">
        <f t="array" ref="K12">Discount(J12,H12)</f>
        <v>0</v>
      </c>
    </row>
    <row r="13" spans="1:14" x14ac:dyDescent="0.25">
      <c r="A13" s="49" t="s">
        <v>276</v>
      </c>
      <c r="B13" s="49" t="s">
        <v>274</v>
      </c>
      <c r="C13" s="49" t="s">
        <v>17</v>
      </c>
      <c r="D13" s="49" t="s">
        <v>257</v>
      </c>
      <c r="E13" s="49" t="s">
        <v>258</v>
      </c>
      <c r="F13" s="50">
        <v>42532</v>
      </c>
      <c r="G13" s="51">
        <v>814350</v>
      </c>
      <c r="H13" s="51">
        <v>1357200</v>
      </c>
      <c r="I13" s="51">
        <f t="shared" si="0"/>
        <v>542850</v>
      </c>
      <c r="J13" s="51">
        <v>3</v>
      </c>
      <c r="K13" s="52" cm="1">
        <f t="array" ref="K13">Discount(J13,H13)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Nested&gt;&gt;</vt:lpstr>
      <vt:lpstr>Basic Nested</vt:lpstr>
      <vt:lpstr>Nested Function</vt:lpstr>
      <vt:lpstr>Offset&gt;&gt;</vt:lpstr>
      <vt:lpstr>Basic Offset</vt:lpstr>
      <vt:lpstr>Offset Function</vt:lpstr>
      <vt:lpstr>Indirect&gt;&gt;</vt:lpstr>
      <vt:lpstr>1</vt:lpstr>
      <vt:lpstr>2</vt:lpstr>
      <vt:lpstr>3</vt:lpstr>
      <vt:lpstr>January</vt:lpstr>
      <vt:lpstr>Summary</vt:lpstr>
      <vt:lpstr>Jan</vt:lpstr>
      <vt:lpstr>Feb</vt:lpstr>
      <vt:lpstr>Mar</vt:lpstr>
      <vt:lpstr>Indirect</vt:lpstr>
      <vt:lpstr>2016</vt:lpstr>
      <vt:lpstr>2017</vt:lpstr>
      <vt:lpstr>2018</vt:lpstr>
      <vt:lpstr>2019</vt:lpstr>
      <vt:lpstr>2020</vt:lpstr>
      <vt:lpstr>2021</vt:lpstr>
      <vt:lpstr>Custom VBA</vt:lpstr>
      <vt:lpstr>Case 1</vt:lpstr>
      <vt:lpstr>Case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Moch Ardi Firmansyah</dc:creator>
  <cp:lastModifiedBy>NOER AMALIA PUSPITA</cp:lastModifiedBy>
  <dcterms:created xsi:type="dcterms:W3CDTF">2023-12-10T04:05:54Z</dcterms:created>
  <dcterms:modified xsi:type="dcterms:W3CDTF">2024-11-30T07:58:34Z</dcterms:modified>
</cp:coreProperties>
</file>